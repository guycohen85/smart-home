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נחות" sheetId="1" state="visible" r:id="rId3"/>
    <sheet name="קטלוג" sheetId="2" state="visible" r:id="rId4"/>
    <sheet name="חבילה בסיסית" sheetId="3" state="visible" r:id="rId5"/>
    <sheet name="ריטיינר" sheetId="4" state="visible" r:id="rId6"/>
    <sheet name="נקודות התחלה" sheetId="5" state="visible" r:id="rId7"/>
    <sheet name="הצעת מחי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<sst xmlns="http://schemas.openxmlformats.org/spreadsheetml/2006/main" count="202" uniqueCount="147">
  <si>
    <t xml:space="preserve">OneHome — מודל תמחור (נבנה מחדש 24/09/2026)</t>
  </si>
  <si>
    <t xml:space="preserve">מקרא: טקסט כחול = קלט שאפשר לשנות · רקע צהוב = הנחת מפתח לאימות · שחור = נוסחה · ירוק = קישור לגיליון אחר. כל המחירים בש"ח כולל מע"מ.</t>
  </si>
  <si>
    <t xml:space="preserve">הנחה</t>
  </si>
  <si>
    <t xml:space="preserve">ערך</t>
  </si>
  <si>
    <t xml:space="preserve">הערה / מקור</t>
  </si>
  <si>
    <t xml:space="preserve">תעריף שעת עבודה של גיא (₪)</t>
  </si>
  <si>
    <t xml:space="preserve">הערכה. תעריף טכנאי/אינטגרטור בישראל; לכייל מול זמנים בפועל אצל 3 הלקוחות הראשונים.</t>
  </si>
  <si>
    <t xml:space="preserve">מרווח על חומרה (%)</t>
  </si>
  <si>
    <t xml:space="preserve">כיסוי רכש, משלוח, החלפות באחריות והון חוזר. לא רווח נטו.</t>
  </si>
  <si>
    <t xml:space="preserve">דמי ביקור חשמלאי (₪, פעם אחת להתקנה)</t>
  </si>
  <si>
    <t xml:space="preserve">הערכה. חל רק אם יש לפחות פריט אחד שדורש חשמלאי (PRD 1 סעיף F).</t>
  </si>
  <si>
    <t xml:space="preserve">שעות עבודה בחבילה הבסיסית</t>
  </si>
  <si>
    <t xml:space="preserve">התקנת HA + גיבויים/Watchman (2) · דשבורד (2) · Companion לבני הבית + הדרכה (1) · נסיעה ותיעוד (1).</t>
  </si>
  <si>
    <t xml:space="preserve">שער דולר (₪)</t>
  </si>
  <si>
    <t xml:space="preserve">להמרת מחירי MSRP. לעדכן לפי הצורך.</t>
  </si>
  <si>
    <t xml:space="preserve">עיגול מחיר ללקוח (₪)</t>
  </si>
  <si>
    <t xml:space="preserve">מחירי הפריטים מעוגלים כלפי מעלה לכפולה של ערך זה.</t>
  </si>
  <si>
    <t xml:space="preserve">מקורות עיקריים</t>
  </si>
  <si>
    <t xml:space="preserve">Home Assistant Green: מחיר מומלץ עלה ל-$199 (Nabu Casa, עדכון 24/04/2026, nabucasa.com/news/2026-01-08-green-pricing-change). כמעט כפול מהמחיר המקורי.</t>
  </si>
  <si>
    <t xml:space="preserve">שאר מחירי החומרה: הערכות של Claude לפי מחירי קמעונאות באירופה/ארה"ב + יבוא ומע"מ בישראל. לא נבדקו מול ספק ישראלי — לאמת לפני הצעת מחיר אמיתית.</t>
  </si>
  <si>
    <t xml:space="preserve">עלויות חשמלאי: הערכות. לאמת מול החשמלאי הקבוע (PRD 1 סעיף G).</t>
  </si>
  <si>
    <t xml:space="preserve">קטלוג מוצרים ומחיר ללקוח</t>
  </si>
  <si>
    <t xml:space="preserve">מחיר ללקוח = עלות חומרה × (1+מרווח) + דקות עבודה של גיא × תעריף + עבודת חשמלאי, מעוגל למעלה. "נספר" = נכנס לספירת המכשירים של מדרגת הריטיינר.</t>
  </si>
  <si>
    <t xml:space="preserve">מזהה</t>
  </si>
  <si>
    <t xml:space="preserve">קטגוריה (PRD 1)</t>
  </si>
  <si>
    <t xml:space="preserve">מוצר</t>
  </si>
  <si>
    <t xml:space="preserve">עלות חומרה (₪)</t>
  </si>
  <si>
    <t xml:space="preserve">דקות עבודה של גיא</t>
  </si>
  <si>
    <t xml:space="preserve">עבודת חשמלאי (₪)</t>
  </si>
  <si>
    <t xml:space="preserve">נספר בריטיינר (1/0)</t>
  </si>
  <si>
    <t xml:space="preserve">מחיר ללקוח (₪)</t>
  </si>
  <si>
    <t xml:space="preserve">סוג</t>
  </si>
  <si>
    <t xml:space="preserve">הערה</t>
  </si>
  <si>
    <t xml:space="preserve">HUB</t>
  </si>
  <si>
    <t xml:space="preserve">1. בקר מרכזי</t>
  </si>
  <si>
    <t xml:space="preserve">Home Assistant Green</t>
  </si>
  <si>
    <t xml:space="preserve">בסיס</t>
  </si>
  <si>
    <t xml:space="preserve">$199 MSRP + יבוא. ההגדרה כלולה בשעות הבסיס.</t>
  </si>
  <si>
    <t xml:space="preserve">ZBT</t>
  </si>
  <si>
    <t xml:space="preserve">מתאם Zigbee/Thread (Connect ZBT / SkyConnect)</t>
  </si>
  <si>
    <t xml:space="preserve">ההגדרה כלולה בשעות הבסיס.</t>
  </si>
  <si>
    <t xml:space="preserve">FP2</t>
  </si>
  <si>
    <t xml:space="preserve">2. נוכחות</t>
  </si>
  <si>
    <t xml:space="preserve">Aqara FP2 (חיישן נוכחות mmWave)</t>
  </si>
  <si>
    <t xml:space="preserve">חדר</t>
  </si>
  <si>
    <t xml:space="preserve">הגדרת אזורים בחדר. דורש מתאם חשמל.</t>
  </si>
  <si>
    <t xml:space="preserve">PIR</t>
  </si>
  <si>
    <t xml:space="preserve">Aqara Motion P1 (PIR למעברים)</t>
  </si>
  <si>
    <t xml:space="preserve">IR</t>
  </si>
  <si>
    <t xml:space="preserve">3. אקלים</t>
  </si>
  <si>
    <t xml:space="preserve">Broadlink RM4 mini (שליטה במזגן IR)</t>
  </si>
  <si>
    <t xml:space="preserve">לימוד קודי IR למזגן.</t>
  </si>
  <si>
    <t xml:space="preserve">TMP</t>
  </si>
  <si>
    <t xml:space="preserve">חיישן טמפ'/לחות Aqara</t>
  </si>
  <si>
    <t xml:space="preserve">AIR</t>
  </si>
  <si>
    <t xml:space="preserve">IKEA VINDSTYRKA (איכות אוויר)</t>
  </si>
  <si>
    <t xml:space="preserve">LEAK</t>
  </si>
  <si>
    <t xml:space="preserve">4. בטיחות</t>
  </si>
  <si>
    <t xml:space="preserve">חיישן הצפה Aqara</t>
  </si>
  <si>
    <t xml:space="preserve">אחד כלול בבסיס; נוספים ליד מדיח/מכונת כביסה/דוד.</t>
  </si>
  <si>
    <t xml:space="preserve">SMOKE</t>
  </si>
  <si>
    <t xml:space="preserve">גלאי עשן Zigbee</t>
  </si>
  <si>
    <t xml:space="preserve">אחד כלול בבסיס.</t>
  </si>
  <si>
    <t xml:space="preserve">DIN</t>
  </si>
  <si>
    <t xml:space="preserve">Shelly Pro 1PM DIN-Rail (ניתוק אוטומטי בלוח)</t>
  </si>
  <si>
    <t xml:space="preserve">בית</t>
  </si>
  <si>
    <t xml:space="preserve">עבודת חשמלאי בלוח.</t>
  </si>
  <si>
    <t xml:space="preserve">BOIL</t>
  </si>
  <si>
    <t xml:space="preserve">5. אנרגיה</t>
  </si>
  <si>
    <t xml:space="preserve">Switcher (בקרת דוד)</t>
  </si>
  <si>
    <t xml:space="preserve">עבודת חשמלאי.</t>
  </si>
  <si>
    <t xml:space="preserve">EM1</t>
  </si>
  <si>
    <t xml:space="preserve">Shelly EM (מדידה חד-פאזית)</t>
  </si>
  <si>
    <t xml:space="preserve">צבת מדידה בלוח — חשמלאי.</t>
  </si>
  <si>
    <t xml:space="preserve">EM3</t>
  </si>
  <si>
    <t xml:space="preserve">Shelly Pro 3EM (מדידה תלת-פאזית)</t>
  </si>
  <si>
    <t xml:space="preserve">חשמלאי.</t>
  </si>
  <si>
    <t xml:space="preserve">SW1</t>
  </si>
  <si>
    <t xml:space="preserve">6. מפסקים</t>
  </si>
  <si>
    <t xml:space="preserve">Shelly 1PM (מתג תאורה, לכל נקודה)</t>
  </si>
  <si>
    <t xml:space="preserve">מאחורי מתג קיים — חשמלאי.</t>
  </si>
  <si>
    <t xml:space="preserve">SW2</t>
  </si>
  <si>
    <t xml:space="preserve">Shelly 2PM (תריס חשמלי)</t>
  </si>
  <si>
    <t xml:space="preserve">DIM</t>
  </si>
  <si>
    <t xml:space="preserve">Shelly Dimmer (עמעם)</t>
  </si>
  <si>
    <t xml:space="preserve">DOOR</t>
  </si>
  <si>
    <t xml:space="preserve">7. כניסה</t>
  </si>
  <si>
    <t xml:space="preserve">חיישן פתיחה/סגירה (דלת/חלון)</t>
  </si>
  <si>
    <t xml:space="preserve">אחד (דלת כניסה) כלול בבסיס.</t>
  </si>
  <si>
    <t xml:space="preserve">LOCK</t>
  </si>
  <si>
    <t xml:space="preserve">מנעול חכם Nuki</t>
  </si>
  <si>
    <t xml:space="preserve">תוספת</t>
  </si>
  <si>
    <t xml:space="preserve">לייף-סטייל, תוספת בתשלום.</t>
  </si>
  <si>
    <t xml:space="preserve">BELL</t>
  </si>
  <si>
    <t xml:space="preserve">פעמון וידאו</t>
  </si>
  <si>
    <t xml:space="preserve">LIGHT</t>
  </si>
  <si>
    <t xml:space="preserve">8. חיווי ותאורה</t>
  </si>
  <si>
    <t xml:space="preserve">מנורת אווירה / נורה חכמה</t>
  </si>
  <si>
    <t xml:space="preserve">BTN</t>
  </si>
  <si>
    <t xml:space="preserve">כפתור משימות Zigbee</t>
  </si>
  <si>
    <t xml:space="preserve">TAB</t>
  </si>
  <si>
    <t xml:space="preserve">9. Kiosk</t>
  </si>
  <si>
    <t xml:space="preserve">טאבלט קיר + מתקן</t>
  </si>
  <si>
    <t xml:space="preserve">כולל הגדרת דשבורד קיר.</t>
  </si>
  <si>
    <t xml:space="preserve">VOICE</t>
  </si>
  <si>
    <t xml:space="preserve">Home Assistant Voice PE (קולי מקומי)</t>
  </si>
  <si>
    <t xml:space="preserve">$59 MSRP. פייפליין מקומי Whisper/Piper.</t>
  </si>
  <si>
    <t xml:space="preserve">CAM</t>
  </si>
  <si>
    <t xml:space="preserve">מצלמת IP (PoE)</t>
  </si>
  <si>
    <t xml:space="preserve">הקלטה מקומית. ללא WebRTC ענני כברירת מחדל.</t>
  </si>
  <si>
    <t xml:space="preserve">החבילה הבסיסית (חובה לכל לקוח)</t>
  </si>
  <si>
    <t xml:space="preserve">רכיב</t>
  </si>
  <si>
    <t xml:space="preserve">כמות</t>
  </si>
  <si>
    <t xml:space="preserve">מחיר ליחידה (₪)</t>
  </si>
  <si>
    <t xml:space="preserve">סה"כ (₪)</t>
  </si>
  <si>
    <t xml:space="preserve">מכשירים נספרים</t>
  </si>
  <si>
    <t xml:space="preserve">שעות שירות בסיס (התקנה, דשבורד, גיבויים, Watchman, הדרכה)</t>
  </si>
  <si>
    <t xml:space="preserve">מחיר החבילה הבסיסית</t>
  </si>
  <si>
    <t xml:space="preserve">מדרגות ריטיינר לפי מכשירים מנוטרים</t>
  </si>
  <si>
    <t xml:space="preserve">מ- (מכשירים)</t>
  </si>
  <si>
    <t xml:space="preserve">עד (מכשירים)</t>
  </si>
  <si>
    <t xml:space="preserve">ריטיינר חודשי (₪)</t>
  </si>
  <si>
    <t xml:space="preserve">כמו הריטיינר הקודם של EcoHome</t>
  </si>
  <si>
    <t xml:space="preserve">כמו SafeHome</t>
  </si>
  <si>
    <t xml:space="preserve">ללא הגבלה</t>
  </si>
  <si>
    <t xml:space="preserve">כמו EliteHome</t>
  </si>
  <si>
    <t xml:space="preserve">הספים (25/50) הם הערכה — לאמת מול ספירת המכשירים בפועל אצל 3 הלקוחות הראשונים. לא נספרים: מוצרים עצמאיים מהחנות, ומנוי Nabu Casa (משולם ישירות על ידי הלקוח).</t>
  </si>
  <si>
    <t xml:space="preserve">נקודות התחלה (Eco / Safe / Elite) — כיול מול המחירים מ-16/09</t>
  </si>
  <si>
    <t xml:space="preserve">כמויות מעבר לחבילה הבסיסית, לבית טיפוסי. משמשות כהצעה מוכנה בבנייה לפי חדרים.</t>
  </si>
  <si>
    <t xml:space="preserve">EcoHome</t>
  </si>
  <si>
    <t xml:space="preserve">SafeHome</t>
  </si>
  <si>
    <t xml:space="preserve">EliteHome</t>
  </si>
  <si>
    <t xml:space="preserve">עזר: חשמלאי</t>
  </si>
  <si>
    <t xml:space="preserve">עזר: נספר</t>
  </si>
  <si>
    <t xml:space="preserve">פריטים מעבר לבסיס (₪)</t>
  </si>
  <si>
    <t xml:space="preserve">חבילה בסיסית (₪)</t>
  </si>
  <si>
    <t xml:space="preserve">ביקור חשמלאי (₪)</t>
  </si>
  <si>
    <t xml:space="preserve">סה"כ התקנה (₪)</t>
  </si>
  <si>
    <t xml:space="preserve">יעד מ-16/09 (₪)</t>
  </si>
  <si>
    <t xml:space="preserve">פער מהיעד (₪)</t>
  </si>
  <si>
    <t xml:space="preserve">אם הפער חיובי ומשמעותי, המחירים מ-16/09 לא מכסים את העלויות בהנחות הנוכחיות (בעיקר בגלל עליית מחיר HA Green ועבודת חשמלאי). ההחלטה — להעלות מחיר, לצמצם כמויות בנקודת ההתחלה, או לעדכן הנחות — אצל גיא.</t>
  </si>
  <si>
    <t xml:space="preserve">הצעת מחיר לפי חדרים — כלי ידני ל-3 הלקוחות הראשונים</t>
  </si>
  <si>
    <t xml:space="preserve">איך ממלאים: עמודה A = שם החדר, B = מוצר מהרשימה הנפתחת, C = כמות (כחול). שורה 5 היא דוגמה — אפשר למחוק. החבילה הבסיסית מתווספת אוטומטית.</t>
  </si>
  <si>
    <t xml:space="preserve">חשמלאי?</t>
  </si>
  <si>
    <t xml:space="preserve">סלון</t>
  </si>
  <si>
    <t xml:space="preserve">פריטים (₪)</t>
  </si>
  <si>
    <t xml:space="preserve">לא כלול: מנוי Nabu Casa (6.50$/חודש או 65$/שנה) — משולם ישירות על ידי הלקוח ל-Nabu Casa.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</si>
</sst>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#,##0.00"/>
    <numFmt numFmtId="168" formatCode="\₪#,##0;&quot;(₪&quot;#,##0\);\-"/>
    <numFmt numFmtId="169" formatCode="#,##0;\(#,##0\);\-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EF2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2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250</v>
      </c>
      <c r="C5" s="5" t="s">
        <v>6</v>
      </c>
    </row>
    <row r="6" customFormat="false" ht="15" hidden="false" customHeight="false" outlineLevel="0" collapsed="false">
      <c r="A6" s="5" t="s">
        <v>7</v>
      </c>
      <c r="B6" s="7" t="n">
        <v>0.2</v>
      </c>
      <c r="C6" s="5" t="s">
        <v>8</v>
      </c>
    </row>
    <row r="7" customFormat="false" ht="15" hidden="false" customHeight="false" outlineLevel="0" collapsed="false">
      <c r="A7" s="5" t="s">
        <v>9</v>
      </c>
      <c r="B7" s="6" t="n">
        <v>400</v>
      </c>
      <c r="C7" s="5" t="s">
        <v>10</v>
      </c>
    </row>
    <row r="8" customFormat="false" ht="15" hidden="false" customHeight="false" outlineLevel="0" collapsed="false">
      <c r="A8" s="5" t="s">
        <v>11</v>
      </c>
      <c r="B8" s="6" t="n">
        <v>6</v>
      </c>
      <c r="C8" s="5" t="s">
        <v>12</v>
      </c>
    </row>
    <row r="9" customFormat="false" ht="15" hidden="false" customHeight="false" outlineLevel="0" collapsed="false">
      <c r="A9" s="5" t="s">
        <v>13</v>
      </c>
      <c r="B9" s="8" t="n">
        <v>3.7</v>
      </c>
      <c r="C9" s="5" t="s">
        <v>14</v>
      </c>
    </row>
    <row r="10" customFormat="false" ht="15" hidden="false" customHeight="false" outlineLevel="0" collapsed="false">
      <c r="A10" s="5" t="s">
        <v>15</v>
      </c>
      <c r="B10" s="6" t="n">
        <v>10</v>
      </c>
      <c r="C10" s="5" t="s">
        <v>16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9" t="s">
        <v>17</v>
      </c>
      <c r="B13" s="2"/>
      <c r="C13" s="2"/>
    </row>
    <row r="14" customFormat="false" ht="15" hidden="false" customHeight="false" outlineLevel="0" collapsed="false">
      <c r="A14" s="2" t="s">
        <v>18</v>
      </c>
      <c r="B14" s="2"/>
      <c r="C14" s="2"/>
    </row>
    <row r="15" customFormat="false" ht="15" hidden="false" customHeight="false" outlineLevel="0" collapsed="false">
      <c r="A15" s="2" t="s">
        <v>19</v>
      </c>
      <c r="B15" s="2"/>
      <c r="C15" s="2"/>
    </row>
    <row r="16" customFormat="false" ht="15" hidden="false" customHeight="false" outlineLevel="0" collapsed="false">
      <c r="A16" s="2" t="s">
        <v>20</v>
      </c>
      <c r="B16" s="2"/>
      <c r="C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55"/>
  </cols>
  <sheetData>
    <row r="1" customFormat="false" ht="17.35" hidden="false" customHeight="false" outlineLevel="0" collapsed="false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9.55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</row>
    <row r="5" customFormat="false" ht="15" hidden="false" customHeight="false" outlineLevel="0" collapsed="false">
      <c r="A5" s="10" t="s">
        <v>33</v>
      </c>
      <c r="B5" s="10" t="s">
        <v>34</v>
      </c>
      <c r="C5" s="10" t="s">
        <v>35</v>
      </c>
      <c r="D5" s="11" t="n">
        <v>900</v>
      </c>
      <c r="E5" s="12" t="n">
        <v>0</v>
      </c>
      <c r="F5" s="11" t="n">
        <v>0</v>
      </c>
      <c r="G5" s="12" t="n">
        <v>0</v>
      </c>
      <c r="H5" s="13" t="n">
        <f aca="false">ROUNDUP((D5*(1+הנחות!$B$6)+E5/60*הנחות!$B$5+F5)/הנחות!$B$10,0)*הנחות!$B$10</f>
        <v>1080</v>
      </c>
      <c r="I5" s="10" t="s">
        <v>36</v>
      </c>
      <c r="J5" s="10" t="s">
        <v>37</v>
      </c>
    </row>
    <row r="6" customFormat="false" ht="15" hidden="false" customHeight="false" outlineLevel="0" collapsed="false">
      <c r="A6" s="10" t="s">
        <v>38</v>
      </c>
      <c r="B6" s="10" t="s">
        <v>34</v>
      </c>
      <c r="C6" s="10" t="s">
        <v>39</v>
      </c>
      <c r="D6" s="11" t="n">
        <v>250</v>
      </c>
      <c r="E6" s="12" t="n">
        <v>0</v>
      </c>
      <c r="F6" s="11" t="n">
        <v>0</v>
      </c>
      <c r="G6" s="12" t="n">
        <v>0</v>
      </c>
      <c r="H6" s="13" t="n">
        <f aca="false">ROUNDUP((D6*(1+הנחות!$B$6)+E6/60*הנחות!$B$5+F6)/הנחות!$B$10,0)*הנחות!$B$10</f>
        <v>300</v>
      </c>
      <c r="I6" s="10" t="s">
        <v>36</v>
      </c>
      <c r="J6" s="10" t="s">
        <v>40</v>
      </c>
    </row>
    <row r="7" customFormat="false" ht="15" hidden="false" customHeight="false" outlineLevel="0" collapsed="false">
      <c r="A7" s="10" t="s">
        <v>41</v>
      </c>
      <c r="B7" s="10" t="s">
        <v>42</v>
      </c>
      <c r="C7" s="10" t="s">
        <v>43</v>
      </c>
      <c r="D7" s="11" t="n">
        <v>400</v>
      </c>
      <c r="E7" s="12" t="n">
        <v>30</v>
      </c>
      <c r="F7" s="11" t="n">
        <v>0</v>
      </c>
      <c r="G7" s="12" t="n">
        <v>1</v>
      </c>
      <c r="H7" s="13" t="n">
        <f aca="false">ROUNDUP((D7*(1+הנחות!$B$6)+E7/60*הנחות!$B$5+F7)/הנחות!$B$10,0)*הנחות!$B$10</f>
        <v>610</v>
      </c>
      <c r="I7" s="10" t="s">
        <v>44</v>
      </c>
      <c r="J7" s="10" t="s">
        <v>45</v>
      </c>
    </row>
    <row r="8" customFormat="false" ht="15" hidden="false" customHeight="false" outlineLevel="0" collapsed="false">
      <c r="A8" s="10" t="s">
        <v>46</v>
      </c>
      <c r="B8" s="10" t="s">
        <v>42</v>
      </c>
      <c r="C8" s="10" t="s">
        <v>47</v>
      </c>
      <c r="D8" s="11" t="n">
        <v>130</v>
      </c>
      <c r="E8" s="12" t="n">
        <v>10</v>
      </c>
      <c r="F8" s="11" t="n">
        <v>0</v>
      </c>
      <c r="G8" s="12" t="n">
        <v>1</v>
      </c>
      <c r="H8" s="13" t="n">
        <f aca="false">ROUNDUP((D8*(1+הנחות!$B$6)+E8/60*הנחות!$B$5+F8)/הנחות!$B$10,0)*הנחות!$B$10</f>
        <v>200</v>
      </c>
      <c r="I8" s="10" t="s">
        <v>44</v>
      </c>
      <c r="J8" s="10"/>
    </row>
    <row r="9" customFormat="false" ht="15" hidden="false" customHeight="false" outlineLevel="0" collapsed="false">
      <c r="A9" s="10" t="s">
        <v>48</v>
      </c>
      <c r="B9" s="10" t="s">
        <v>49</v>
      </c>
      <c r="C9" s="10" t="s">
        <v>50</v>
      </c>
      <c r="D9" s="11" t="n">
        <v>110</v>
      </c>
      <c r="E9" s="12" t="n">
        <v>30</v>
      </c>
      <c r="F9" s="11" t="n">
        <v>0</v>
      </c>
      <c r="G9" s="12" t="n">
        <v>1</v>
      </c>
      <c r="H9" s="13" t="n">
        <f aca="false">ROUNDUP((D9*(1+הנחות!$B$6)+E9/60*הנחות!$B$5+F9)/הנחות!$B$10,0)*הנחות!$B$10</f>
        <v>260</v>
      </c>
      <c r="I9" s="10" t="s">
        <v>44</v>
      </c>
      <c r="J9" s="10" t="s">
        <v>51</v>
      </c>
    </row>
    <row r="10" customFormat="false" ht="15" hidden="false" customHeight="false" outlineLevel="0" collapsed="false">
      <c r="A10" s="10" t="s">
        <v>52</v>
      </c>
      <c r="B10" s="10" t="s">
        <v>49</v>
      </c>
      <c r="C10" s="10" t="s">
        <v>53</v>
      </c>
      <c r="D10" s="11" t="n">
        <v>90</v>
      </c>
      <c r="E10" s="12" t="n">
        <v>10</v>
      </c>
      <c r="F10" s="11" t="n">
        <v>0</v>
      </c>
      <c r="G10" s="12" t="n">
        <v>1</v>
      </c>
      <c r="H10" s="13" t="n">
        <f aca="false">ROUNDUP((D10*(1+הנחות!$B$6)+E10/60*הנחות!$B$5+F10)/הנחות!$B$10,0)*הנחות!$B$10</f>
        <v>150</v>
      </c>
      <c r="I10" s="10" t="s">
        <v>44</v>
      </c>
      <c r="J10" s="10"/>
    </row>
    <row r="11" customFormat="false" ht="15" hidden="false" customHeight="false" outlineLevel="0" collapsed="false">
      <c r="A11" s="10" t="s">
        <v>54</v>
      </c>
      <c r="B11" s="10" t="s">
        <v>49</v>
      </c>
      <c r="C11" s="10" t="s">
        <v>55</v>
      </c>
      <c r="D11" s="11" t="n">
        <v>200</v>
      </c>
      <c r="E11" s="12" t="n">
        <v>15</v>
      </c>
      <c r="F11" s="11" t="n">
        <v>0</v>
      </c>
      <c r="G11" s="12" t="n">
        <v>1</v>
      </c>
      <c r="H11" s="13" t="n">
        <f aca="false">ROUNDUP((D11*(1+הנחות!$B$6)+E11/60*הנחות!$B$5+F11)/הנחות!$B$10,0)*הנחות!$B$10</f>
        <v>310</v>
      </c>
      <c r="I11" s="10" t="s">
        <v>44</v>
      </c>
      <c r="J11" s="10"/>
    </row>
    <row r="12" customFormat="false" ht="15" hidden="false" customHeight="false" outlineLevel="0" collapsed="false">
      <c r="A12" s="10" t="s">
        <v>56</v>
      </c>
      <c r="B12" s="10" t="s">
        <v>57</v>
      </c>
      <c r="C12" s="10" t="s">
        <v>58</v>
      </c>
      <c r="D12" s="11" t="n">
        <v>90</v>
      </c>
      <c r="E12" s="12" t="n">
        <v>10</v>
      </c>
      <c r="F12" s="11" t="n">
        <v>0</v>
      </c>
      <c r="G12" s="12" t="n">
        <v>1</v>
      </c>
      <c r="H12" s="13" t="n">
        <f aca="false">ROUNDUP((D12*(1+הנחות!$B$6)+E12/60*הנחות!$B$5+F12)/הנחות!$B$10,0)*הנחות!$B$10</f>
        <v>150</v>
      </c>
      <c r="I12" s="10" t="s">
        <v>44</v>
      </c>
      <c r="J12" s="10" t="s">
        <v>59</v>
      </c>
    </row>
    <row r="13" customFormat="false" ht="15" hidden="false" customHeight="false" outlineLevel="0" collapsed="false">
      <c r="A13" s="10" t="s">
        <v>60</v>
      </c>
      <c r="B13" s="10" t="s">
        <v>57</v>
      </c>
      <c r="C13" s="10" t="s">
        <v>61</v>
      </c>
      <c r="D13" s="11" t="n">
        <v>200</v>
      </c>
      <c r="E13" s="12" t="n">
        <v>15</v>
      </c>
      <c r="F13" s="11" t="n">
        <v>0</v>
      </c>
      <c r="G13" s="12" t="n">
        <v>1</v>
      </c>
      <c r="H13" s="13" t="n">
        <f aca="false">ROUNDUP((D13*(1+הנחות!$B$6)+E13/60*הנחות!$B$5+F13)/הנחות!$B$10,0)*הנחות!$B$10</f>
        <v>310</v>
      </c>
      <c r="I13" s="10" t="s">
        <v>44</v>
      </c>
      <c r="J13" s="10" t="s">
        <v>62</v>
      </c>
    </row>
    <row r="14" customFormat="false" ht="15" hidden="false" customHeight="false" outlineLevel="0" collapsed="false">
      <c r="A14" s="10" t="s">
        <v>63</v>
      </c>
      <c r="B14" s="10" t="s">
        <v>57</v>
      </c>
      <c r="C14" s="10" t="s">
        <v>64</v>
      </c>
      <c r="D14" s="11" t="n">
        <v>350</v>
      </c>
      <c r="E14" s="12" t="n">
        <v>20</v>
      </c>
      <c r="F14" s="11" t="n">
        <v>300</v>
      </c>
      <c r="G14" s="12" t="n">
        <v>1</v>
      </c>
      <c r="H14" s="13" t="n">
        <f aca="false">ROUNDUP((D14*(1+הנחות!$B$6)+E14/60*הנחות!$B$5+F14)/הנחות!$B$10,0)*הנחות!$B$10</f>
        <v>810</v>
      </c>
      <c r="I14" s="10" t="s">
        <v>65</v>
      </c>
      <c r="J14" s="10" t="s">
        <v>66</v>
      </c>
    </row>
    <row r="15" customFormat="false" ht="15" hidden="false" customHeight="false" outlineLevel="0" collapsed="false">
      <c r="A15" s="10" t="s">
        <v>67</v>
      </c>
      <c r="B15" s="10" t="s">
        <v>68</v>
      </c>
      <c r="C15" s="10" t="s">
        <v>69</v>
      </c>
      <c r="D15" s="11" t="n">
        <v>380</v>
      </c>
      <c r="E15" s="12" t="n">
        <v>20</v>
      </c>
      <c r="F15" s="11" t="n">
        <v>250</v>
      </c>
      <c r="G15" s="12" t="n">
        <v>1</v>
      </c>
      <c r="H15" s="13" t="n">
        <f aca="false">ROUNDUP((D15*(1+הנחות!$B$6)+E15/60*הנחות!$B$5+F15)/הנחות!$B$10,0)*הנחות!$B$10</f>
        <v>790</v>
      </c>
      <c r="I15" s="10" t="s">
        <v>65</v>
      </c>
      <c r="J15" s="10" t="s">
        <v>70</v>
      </c>
    </row>
    <row r="16" customFormat="false" ht="15" hidden="false" customHeight="false" outlineLevel="0" collapsed="false">
      <c r="A16" s="10" t="s">
        <v>71</v>
      </c>
      <c r="B16" s="10" t="s">
        <v>68</v>
      </c>
      <c r="C16" s="10" t="s">
        <v>72</v>
      </c>
      <c r="D16" s="11" t="n">
        <v>300</v>
      </c>
      <c r="E16" s="12" t="n">
        <v>15</v>
      </c>
      <c r="F16" s="11" t="n">
        <v>250</v>
      </c>
      <c r="G16" s="12" t="n">
        <v>1</v>
      </c>
      <c r="H16" s="13" t="n">
        <f aca="false">ROUNDUP((D16*(1+הנחות!$B$6)+E16/60*הנחות!$B$5+F16)/הנחות!$B$10,0)*הנחות!$B$10</f>
        <v>680</v>
      </c>
      <c r="I16" s="10" t="s">
        <v>65</v>
      </c>
      <c r="J16" s="10" t="s">
        <v>73</v>
      </c>
    </row>
    <row r="17" customFormat="false" ht="15" hidden="false" customHeight="false" outlineLevel="0" collapsed="false">
      <c r="A17" s="10" t="s">
        <v>74</v>
      </c>
      <c r="B17" s="10" t="s">
        <v>68</v>
      </c>
      <c r="C17" s="10" t="s">
        <v>75</v>
      </c>
      <c r="D17" s="11" t="n">
        <v>650</v>
      </c>
      <c r="E17" s="12" t="n">
        <v>20</v>
      </c>
      <c r="F17" s="11" t="n">
        <v>350</v>
      </c>
      <c r="G17" s="12" t="n">
        <v>1</v>
      </c>
      <c r="H17" s="13" t="n">
        <f aca="false">ROUNDUP((D17*(1+הנחות!$B$6)+E17/60*הנחות!$B$5+F17)/הנחות!$B$10,0)*הנחות!$B$10</f>
        <v>1220</v>
      </c>
      <c r="I17" s="10" t="s">
        <v>65</v>
      </c>
      <c r="J17" s="10" t="s">
        <v>76</v>
      </c>
    </row>
    <row r="18" customFormat="false" ht="15" hidden="false" customHeight="false" outlineLevel="0" collapsed="false">
      <c r="A18" s="10" t="s">
        <v>77</v>
      </c>
      <c r="B18" s="10" t="s">
        <v>78</v>
      </c>
      <c r="C18" s="10" t="s">
        <v>79</v>
      </c>
      <c r="D18" s="11" t="n">
        <v>110</v>
      </c>
      <c r="E18" s="12" t="n">
        <v>10</v>
      </c>
      <c r="F18" s="11" t="n">
        <v>150</v>
      </c>
      <c r="G18" s="12" t="n">
        <v>1</v>
      </c>
      <c r="H18" s="13" t="n">
        <f aca="false">ROUNDUP((D18*(1+הנחות!$B$6)+E18/60*הנחות!$B$5+F18)/הנחות!$B$10,0)*הנחות!$B$10</f>
        <v>330</v>
      </c>
      <c r="I18" s="10" t="s">
        <v>44</v>
      </c>
      <c r="J18" s="10" t="s">
        <v>80</v>
      </c>
    </row>
    <row r="19" customFormat="false" ht="15" hidden="false" customHeight="false" outlineLevel="0" collapsed="false">
      <c r="A19" s="10" t="s">
        <v>81</v>
      </c>
      <c r="B19" s="10" t="s">
        <v>78</v>
      </c>
      <c r="C19" s="10" t="s">
        <v>82</v>
      </c>
      <c r="D19" s="11" t="n">
        <v>160</v>
      </c>
      <c r="E19" s="12" t="n">
        <v>15</v>
      </c>
      <c r="F19" s="11" t="n">
        <v>150</v>
      </c>
      <c r="G19" s="12" t="n">
        <v>1</v>
      </c>
      <c r="H19" s="13" t="n">
        <f aca="false">ROUNDUP((D19*(1+הנחות!$B$6)+E19/60*הנחות!$B$5+F19)/הנחות!$B$10,0)*הנחות!$B$10</f>
        <v>410</v>
      </c>
      <c r="I19" s="10" t="s">
        <v>44</v>
      </c>
      <c r="J19" s="10" t="s">
        <v>76</v>
      </c>
    </row>
    <row r="20" customFormat="false" ht="15" hidden="false" customHeight="false" outlineLevel="0" collapsed="false">
      <c r="A20" s="10" t="s">
        <v>83</v>
      </c>
      <c r="B20" s="10" t="s">
        <v>78</v>
      </c>
      <c r="C20" s="10" t="s">
        <v>84</v>
      </c>
      <c r="D20" s="11" t="n">
        <v>170</v>
      </c>
      <c r="E20" s="12" t="n">
        <v>10</v>
      </c>
      <c r="F20" s="11" t="n">
        <v>150</v>
      </c>
      <c r="G20" s="12" t="n">
        <v>1</v>
      </c>
      <c r="H20" s="13" t="n">
        <f aca="false">ROUNDUP((D20*(1+הנחות!$B$6)+E20/60*הנחות!$B$5+F20)/הנחות!$B$10,0)*הנחות!$B$10</f>
        <v>400</v>
      </c>
      <c r="I20" s="10" t="s">
        <v>44</v>
      </c>
      <c r="J20" s="10" t="s">
        <v>76</v>
      </c>
    </row>
    <row r="21" customFormat="false" ht="15" hidden="false" customHeight="false" outlineLevel="0" collapsed="false">
      <c r="A21" s="10" t="s">
        <v>85</v>
      </c>
      <c r="B21" s="10" t="s">
        <v>86</v>
      </c>
      <c r="C21" s="10" t="s">
        <v>87</v>
      </c>
      <c r="D21" s="11" t="n">
        <v>75</v>
      </c>
      <c r="E21" s="12" t="n">
        <v>10</v>
      </c>
      <c r="F21" s="11" t="n">
        <v>0</v>
      </c>
      <c r="G21" s="12" t="n">
        <v>1</v>
      </c>
      <c r="H21" s="13" t="n">
        <f aca="false">ROUNDUP((D21*(1+הנחות!$B$6)+E21/60*הנחות!$B$5+F21)/הנחות!$B$10,0)*הנחות!$B$10</f>
        <v>140</v>
      </c>
      <c r="I21" s="10" t="s">
        <v>44</v>
      </c>
      <c r="J21" s="10" t="s">
        <v>88</v>
      </c>
    </row>
    <row r="22" customFormat="false" ht="15" hidden="false" customHeight="false" outlineLevel="0" collapsed="false">
      <c r="A22" s="10" t="s">
        <v>89</v>
      </c>
      <c r="B22" s="10" t="s">
        <v>86</v>
      </c>
      <c r="C22" s="10" t="s">
        <v>90</v>
      </c>
      <c r="D22" s="11" t="n">
        <v>1200</v>
      </c>
      <c r="E22" s="12" t="n">
        <v>45</v>
      </c>
      <c r="F22" s="11" t="n">
        <v>0</v>
      </c>
      <c r="G22" s="12" t="n">
        <v>1</v>
      </c>
      <c r="H22" s="13" t="n">
        <f aca="false">ROUNDUP((D22*(1+הנחות!$B$6)+E22/60*הנחות!$B$5+F22)/הנחות!$B$10,0)*הנחות!$B$10</f>
        <v>1630</v>
      </c>
      <c r="I22" s="10" t="s">
        <v>91</v>
      </c>
      <c r="J22" s="10" t="s">
        <v>92</v>
      </c>
    </row>
    <row r="23" customFormat="false" ht="15" hidden="false" customHeight="false" outlineLevel="0" collapsed="false">
      <c r="A23" s="10" t="s">
        <v>93</v>
      </c>
      <c r="B23" s="10" t="s">
        <v>86</v>
      </c>
      <c r="C23" s="10" t="s">
        <v>94</v>
      </c>
      <c r="D23" s="11" t="n">
        <v>550</v>
      </c>
      <c r="E23" s="12" t="n">
        <v>45</v>
      </c>
      <c r="F23" s="11" t="n">
        <v>0</v>
      </c>
      <c r="G23" s="12" t="n">
        <v>1</v>
      </c>
      <c r="H23" s="13" t="n">
        <f aca="false">ROUNDUP((D23*(1+הנחות!$B$6)+E23/60*הנחות!$B$5+F23)/הנחות!$B$10,0)*הנחות!$B$10</f>
        <v>850</v>
      </c>
      <c r="I23" s="10" t="s">
        <v>91</v>
      </c>
      <c r="J23" s="10" t="s">
        <v>92</v>
      </c>
    </row>
    <row r="24" customFormat="false" ht="15" hidden="false" customHeight="false" outlineLevel="0" collapsed="false">
      <c r="A24" s="10" t="s">
        <v>95</v>
      </c>
      <c r="B24" s="10" t="s">
        <v>96</v>
      </c>
      <c r="C24" s="10" t="s">
        <v>97</v>
      </c>
      <c r="D24" s="11" t="n">
        <v>120</v>
      </c>
      <c r="E24" s="12" t="n">
        <v>10</v>
      </c>
      <c r="F24" s="11" t="n">
        <v>0</v>
      </c>
      <c r="G24" s="12" t="n">
        <v>1</v>
      </c>
      <c r="H24" s="13" t="n">
        <f aca="false">ROUNDUP((D24*(1+הנחות!$B$6)+E24/60*הנחות!$B$5+F24)/הנחות!$B$10,0)*הנחות!$B$10</f>
        <v>190</v>
      </c>
      <c r="I24" s="10" t="s">
        <v>91</v>
      </c>
      <c r="J24" s="10"/>
    </row>
    <row r="25" customFormat="false" ht="15" hidden="false" customHeight="false" outlineLevel="0" collapsed="false">
      <c r="A25" s="10" t="s">
        <v>98</v>
      </c>
      <c r="B25" s="10" t="s">
        <v>96</v>
      </c>
      <c r="C25" s="10" t="s">
        <v>99</v>
      </c>
      <c r="D25" s="11" t="n">
        <v>70</v>
      </c>
      <c r="E25" s="12" t="n">
        <v>10</v>
      </c>
      <c r="F25" s="11" t="n">
        <v>0</v>
      </c>
      <c r="G25" s="12" t="n">
        <v>1</v>
      </c>
      <c r="H25" s="13" t="n">
        <f aca="false">ROUNDUP((D25*(1+הנחות!$B$6)+E25/60*הנחות!$B$5+F25)/הנחות!$B$10,0)*הנחות!$B$10</f>
        <v>130</v>
      </c>
      <c r="I25" s="10" t="s">
        <v>91</v>
      </c>
      <c r="J25" s="10"/>
    </row>
    <row r="26" customFormat="false" ht="15" hidden="false" customHeight="false" outlineLevel="0" collapsed="false">
      <c r="A26" s="10" t="s">
        <v>100</v>
      </c>
      <c r="B26" s="10" t="s">
        <v>101</v>
      </c>
      <c r="C26" s="10" t="s">
        <v>102</v>
      </c>
      <c r="D26" s="11" t="n">
        <v>900</v>
      </c>
      <c r="E26" s="12" t="n">
        <v>90</v>
      </c>
      <c r="F26" s="11" t="n">
        <v>0</v>
      </c>
      <c r="G26" s="12" t="n">
        <v>1</v>
      </c>
      <c r="H26" s="13" t="n">
        <f aca="false">ROUNDUP((D26*(1+הנחות!$B$6)+E26/60*הנחות!$B$5+F26)/הנחות!$B$10,0)*הנחות!$B$10</f>
        <v>1460</v>
      </c>
      <c r="I26" s="10" t="s">
        <v>91</v>
      </c>
      <c r="J26" s="10" t="s">
        <v>103</v>
      </c>
    </row>
    <row r="27" customFormat="false" ht="15" hidden="false" customHeight="false" outlineLevel="0" collapsed="false">
      <c r="A27" s="10" t="s">
        <v>104</v>
      </c>
      <c r="B27" s="10" t="s">
        <v>101</v>
      </c>
      <c r="C27" s="10" t="s">
        <v>105</v>
      </c>
      <c r="D27" s="11" t="n">
        <v>330</v>
      </c>
      <c r="E27" s="12" t="n">
        <v>45</v>
      </c>
      <c r="F27" s="11" t="n">
        <v>0</v>
      </c>
      <c r="G27" s="12" t="n">
        <v>1</v>
      </c>
      <c r="H27" s="13" t="n">
        <f aca="false">ROUNDUP((D27*(1+הנחות!$B$6)+E27/60*הנחות!$B$5+F27)/הנחות!$B$10,0)*הנחות!$B$10</f>
        <v>590</v>
      </c>
      <c r="I27" s="10" t="s">
        <v>91</v>
      </c>
      <c r="J27" s="10" t="s">
        <v>106</v>
      </c>
    </row>
    <row r="28" customFormat="false" ht="15" hidden="false" customHeight="false" outlineLevel="0" collapsed="false">
      <c r="A28" s="10" t="s">
        <v>107</v>
      </c>
      <c r="B28" s="10" t="s">
        <v>91</v>
      </c>
      <c r="C28" s="10" t="s">
        <v>108</v>
      </c>
      <c r="D28" s="11" t="n">
        <v>400</v>
      </c>
      <c r="E28" s="12" t="n">
        <v>30</v>
      </c>
      <c r="F28" s="11" t="n">
        <v>0</v>
      </c>
      <c r="G28" s="12" t="n">
        <v>1</v>
      </c>
      <c r="H28" s="13" t="n">
        <f aca="false">ROUNDUP((D28*(1+הנחות!$B$6)+E28/60*הנחות!$B$5+F28)/הנחות!$B$10,0)*הנחות!$B$10</f>
        <v>610</v>
      </c>
      <c r="I28" s="10" t="s">
        <v>91</v>
      </c>
      <c r="J28" s="1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1" t="s">
        <v>110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6.85" hidden="false" customHeight="false" outlineLevel="0" collapsed="false">
      <c r="A3" s="4" t="s">
        <v>111</v>
      </c>
      <c r="B3" s="4" t="s">
        <v>112</v>
      </c>
      <c r="C3" s="4" t="s">
        <v>113</v>
      </c>
      <c r="D3" s="4" t="s">
        <v>114</v>
      </c>
      <c r="E3" s="4" t="s">
        <v>115</v>
      </c>
    </row>
    <row r="4" customFormat="false" ht="15" hidden="false" customHeight="false" outlineLevel="0" collapsed="false">
      <c r="A4" s="14" t="str">
        <f aca="false">קטלוג!C5</f>
        <v>Home Assistant Green</v>
      </c>
      <c r="B4" s="15" t="n">
        <v>1</v>
      </c>
      <c r="C4" s="16" t="n">
        <f aca="false">קטלוג!H5</f>
        <v>1080</v>
      </c>
      <c r="D4" s="17" t="n">
        <f aca="false">B4*C4</f>
        <v>1080</v>
      </c>
      <c r="E4" s="2" t="n">
        <f aca="false">B4*קטלוג!G5</f>
        <v>0</v>
      </c>
    </row>
    <row r="5" customFormat="false" ht="15" hidden="false" customHeight="false" outlineLevel="0" collapsed="false">
      <c r="A5" s="14" t="str">
        <f aca="false">קטלוג!C6</f>
        <v>מתאם Zigbee/Thread (Connect ZBT / SkyConnect)</v>
      </c>
      <c r="B5" s="15" t="n">
        <v>1</v>
      </c>
      <c r="C5" s="16" t="n">
        <f aca="false">קטלוג!H6</f>
        <v>300</v>
      </c>
      <c r="D5" s="17" t="n">
        <f aca="false">B5*C5</f>
        <v>300</v>
      </c>
      <c r="E5" s="2" t="n">
        <f aca="false">B5*קטלוג!G6</f>
        <v>0</v>
      </c>
    </row>
    <row r="6" customFormat="false" ht="15" hidden="false" customHeight="false" outlineLevel="0" collapsed="false">
      <c r="A6" s="14" t="str">
        <f aca="false">קטלוג!C12</f>
        <v>חיישן הצפה Aqara</v>
      </c>
      <c r="B6" s="15" t="n">
        <v>1</v>
      </c>
      <c r="C6" s="16" t="n">
        <f aca="false">קטלוג!H12</f>
        <v>150</v>
      </c>
      <c r="D6" s="17" t="n">
        <f aca="false">B6*C6</f>
        <v>150</v>
      </c>
      <c r="E6" s="2" t="n">
        <f aca="false">B6*קטלוג!G12</f>
        <v>1</v>
      </c>
    </row>
    <row r="7" customFormat="false" ht="15" hidden="false" customHeight="false" outlineLevel="0" collapsed="false">
      <c r="A7" s="14" t="str">
        <f aca="false">קטלוג!C13</f>
        <v>גלאי עשן Zigbee</v>
      </c>
      <c r="B7" s="15" t="n">
        <v>1</v>
      </c>
      <c r="C7" s="16" t="n">
        <f aca="false">קטלוג!H13</f>
        <v>310</v>
      </c>
      <c r="D7" s="17" t="n">
        <f aca="false">B7*C7</f>
        <v>310</v>
      </c>
      <c r="E7" s="2" t="n">
        <f aca="false">B7*קטלוג!G13</f>
        <v>1</v>
      </c>
    </row>
    <row r="8" customFormat="false" ht="15" hidden="false" customHeight="false" outlineLevel="0" collapsed="false">
      <c r="A8" s="14" t="str">
        <f aca="false">קטלוג!C21</f>
        <v>חיישן פתיחה/סגירה (דלת/חלון)</v>
      </c>
      <c r="B8" s="15" t="n">
        <v>1</v>
      </c>
      <c r="C8" s="16" t="n">
        <f aca="false">קטלוג!H21</f>
        <v>140</v>
      </c>
      <c r="D8" s="17" t="n">
        <f aca="false">B8*C8</f>
        <v>140</v>
      </c>
      <c r="E8" s="2" t="n">
        <f aca="false">B8*קטלוג!G21</f>
        <v>1</v>
      </c>
    </row>
    <row r="9" customFormat="false" ht="15" hidden="false" customHeight="false" outlineLevel="0" collapsed="false">
      <c r="A9" s="2" t="s">
        <v>116</v>
      </c>
      <c r="B9" s="18" t="n">
        <f aca="false">הנחות!$B$8</f>
        <v>6</v>
      </c>
      <c r="C9" s="16" t="n">
        <f aca="false">הנחות!$B$5</f>
        <v>250</v>
      </c>
      <c r="D9" s="17" t="n">
        <f aca="false">B9*C9</f>
        <v>1500</v>
      </c>
      <c r="E9" s="2"/>
    </row>
    <row r="10" customFormat="false" ht="15" hidden="false" customHeight="false" outlineLevel="0" collapsed="false">
      <c r="A10" s="9" t="s">
        <v>117</v>
      </c>
      <c r="B10" s="2"/>
      <c r="C10" s="2"/>
      <c r="D10" s="19" t="n">
        <f aca="false">SUM(D4:D9)</f>
        <v>3480</v>
      </c>
      <c r="E10" s="9" t="n">
        <f aca="false">SUM(E4:E8)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118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4" t="s">
        <v>119</v>
      </c>
      <c r="B3" s="4" t="s">
        <v>120</v>
      </c>
      <c r="C3" s="4" t="s">
        <v>121</v>
      </c>
      <c r="D3" s="4" t="s">
        <v>32</v>
      </c>
    </row>
    <row r="4" customFormat="false" ht="15" hidden="false" customHeight="false" outlineLevel="0" collapsed="false">
      <c r="A4" s="15" t="n">
        <v>0</v>
      </c>
      <c r="B4" s="15" t="n">
        <v>25</v>
      </c>
      <c r="C4" s="20" t="n">
        <v>160</v>
      </c>
      <c r="D4" s="2" t="s">
        <v>122</v>
      </c>
    </row>
    <row r="5" customFormat="false" ht="15" hidden="false" customHeight="false" outlineLevel="0" collapsed="false">
      <c r="A5" s="15" t="n">
        <v>26</v>
      </c>
      <c r="B5" s="15" t="n">
        <v>50</v>
      </c>
      <c r="C5" s="20" t="n">
        <v>220</v>
      </c>
      <c r="D5" s="2" t="s">
        <v>123</v>
      </c>
    </row>
    <row r="6" customFormat="false" ht="15" hidden="false" customHeight="false" outlineLevel="0" collapsed="false">
      <c r="A6" s="15" t="n">
        <v>51</v>
      </c>
      <c r="B6" s="15" t="s">
        <v>124</v>
      </c>
      <c r="C6" s="20" t="n">
        <v>350</v>
      </c>
      <c r="D6" s="2" t="s">
        <v>125</v>
      </c>
    </row>
    <row r="7" customFormat="false" ht="15" hidden="false" customHeight="false" outlineLevel="0" collapsed="false">
      <c r="A7" s="2"/>
      <c r="B7" s="2"/>
      <c r="C7" s="2"/>
      <c r="D7" s="2"/>
    </row>
    <row r="8" customFormat="false" ht="15" hidden="false" customHeight="false" outlineLevel="0" collapsed="false">
      <c r="A8" s="2" t="s">
        <v>126</v>
      </c>
      <c r="B8" s="2"/>
      <c r="C8" s="2"/>
      <c r="D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5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15" hidden="false" customHeight="false" outlineLevel="0" collapsed="false">
      <c r="A1" s="1" t="s">
        <v>127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128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6.85" hidden="false" customHeight="false" outlineLevel="0" collapsed="false">
      <c r="A4" s="4" t="s">
        <v>25</v>
      </c>
      <c r="B4" s="4" t="s">
        <v>113</v>
      </c>
      <c r="C4" s="4" t="s">
        <v>129</v>
      </c>
      <c r="D4" s="4" t="s">
        <v>130</v>
      </c>
      <c r="E4" s="4" t="s">
        <v>131</v>
      </c>
      <c r="F4" s="21" t="s">
        <v>132</v>
      </c>
      <c r="G4" s="21" t="s">
        <v>133</v>
      </c>
    </row>
    <row r="5" customFormat="false" ht="15" hidden="false" customHeight="false" outlineLevel="0" collapsed="false">
      <c r="A5" s="14" t="str">
        <f aca="false">קטלוג!C7</f>
        <v>Aqara FP2 (חיישן נוכחות mmWave)</v>
      </c>
      <c r="B5" s="16" t="n">
        <f aca="false">קטלוג!H7</f>
        <v>610</v>
      </c>
      <c r="C5" s="15" t="n">
        <v>2</v>
      </c>
      <c r="D5" s="15" t="n">
        <v>4</v>
      </c>
      <c r="E5" s="15" t="n">
        <v>6</v>
      </c>
      <c r="F5" s="16" t="n">
        <f aca="false">קטלוג!F7</f>
        <v>0</v>
      </c>
      <c r="G5" s="14" t="n">
        <f aca="false">קטלוג!G7</f>
        <v>1</v>
      </c>
    </row>
    <row r="6" customFormat="false" ht="15" hidden="false" customHeight="false" outlineLevel="0" collapsed="false">
      <c r="A6" s="14" t="str">
        <f aca="false">קטלוג!C8</f>
        <v>Aqara Motion P1 (PIR למעברים)</v>
      </c>
      <c r="B6" s="16" t="n">
        <f aca="false">קטלוג!H8</f>
        <v>200</v>
      </c>
      <c r="C6" s="15" t="n">
        <v>1</v>
      </c>
      <c r="D6" s="15" t="n">
        <v>2</v>
      </c>
      <c r="E6" s="15" t="n">
        <v>4</v>
      </c>
      <c r="F6" s="16" t="n">
        <f aca="false">קטלוג!F8</f>
        <v>0</v>
      </c>
      <c r="G6" s="14" t="n">
        <f aca="false">קטלוג!G8</f>
        <v>1</v>
      </c>
    </row>
    <row r="7" customFormat="false" ht="15" hidden="false" customHeight="false" outlineLevel="0" collapsed="false">
      <c r="A7" s="14" t="str">
        <f aca="false">קטלוג!C9</f>
        <v>Broadlink RM4 mini (שליטה במזגן IR)</v>
      </c>
      <c r="B7" s="16" t="n">
        <f aca="false">קטלוג!H9</f>
        <v>260</v>
      </c>
      <c r="C7" s="15" t="n">
        <v>1</v>
      </c>
      <c r="D7" s="15" t="n">
        <v>1</v>
      </c>
      <c r="E7" s="15" t="n">
        <v>2</v>
      </c>
      <c r="F7" s="16" t="n">
        <f aca="false">קטלוג!F9</f>
        <v>0</v>
      </c>
      <c r="G7" s="14" t="n">
        <f aca="false">קטלוג!G9</f>
        <v>1</v>
      </c>
    </row>
    <row r="8" customFormat="false" ht="15" hidden="false" customHeight="false" outlineLevel="0" collapsed="false">
      <c r="A8" s="14" t="str">
        <f aca="false">קטלוג!C10</f>
        <v>חיישן טמפ'/לחות Aqara</v>
      </c>
      <c r="B8" s="16" t="n">
        <f aca="false">קטלוג!H10</f>
        <v>150</v>
      </c>
      <c r="C8" s="15" t="n">
        <v>1</v>
      </c>
      <c r="D8" s="15" t="n">
        <v>1</v>
      </c>
      <c r="E8" s="15" t="n">
        <v>2</v>
      </c>
      <c r="F8" s="16" t="n">
        <f aca="false">קטלוג!F10</f>
        <v>0</v>
      </c>
      <c r="G8" s="14" t="n">
        <f aca="false">קטלוג!G10</f>
        <v>1</v>
      </c>
    </row>
    <row r="9" customFormat="false" ht="15" hidden="false" customHeight="false" outlineLevel="0" collapsed="false">
      <c r="A9" s="14" t="str">
        <f aca="false">קטלוג!C11</f>
        <v>IKEA VINDSTYRKA (איכות אוויר)</v>
      </c>
      <c r="B9" s="16" t="n">
        <f aca="false">קטלוג!H11</f>
        <v>310</v>
      </c>
      <c r="C9" s="15" t="n">
        <v>0</v>
      </c>
      <c r="D9" s="15" t="n">
        <v>1</v>
      </c>
      <c r="E9" s="15" t="n">
        <v>1</v>
      </c>
      <c r="F9" s="16" t="n">
        <f aca="false">קטלוג!F11</f>
        <v>0</v>
      </c>
      <c r="G9" s="14" t="n">
        <f aca="false">קטלוג!G11</f>
        <v>1</v>
      </c>
    </row>
    <row r="10" customFormat="false" ht="15" hidden="false" customHeight="false" outlineLevel="0" collapsed="false">
      <c r="A10" s="14" t="str">
        <f aca="false">קטלוג!C12</f>
        <v>חיישן הצפה Aqara</v>
      </c>
      <c r="B10" s="16" t="n">
        <f aca="false">קטלוג!H12</f>
        <v>150</v>
      </c>
      <c r="C10" s="15" t="n">
        <v>0</v>
      </c>
      <c r="D10" s="15" t="n">
        <v>1</v>
      </c>
      <c r="E10" s="15" t="n">
        <v>2</v>
      </c>
      <c r="F10" s="16" t="n">
        <f aca="false">קטלוג!F12</f>
        <v>0</v>
      </c>
      <c r="G10" s="14" t="n">
        <f aca="false">קטלוג!G12</f>
        <v>1</v>
      </c>
    </row>
    <row r="11" customFormat="false" ht="15" hidden="false" customHeight="false" outlineLevel="0" collapsed="false">
      <c r="A11" s="14" t="str">
        <f aca="false">קטלוג!C14</f>
        <v>Shelly Pro 1PM DIN-Rail (ניתוק אוטומטי בלוח)</v>
      </c>
      <c r="B11" s="16" t="n">
        <f aca="false">קטלוג!H14</f>
        <v>810</v>
      </c>
      <c r="C11" s="15" t="n">
        <v>0</v>
      </c>
      <c r="D11" s="15" t="n">
        <v>1</v>
      </c>
      <c r="E11" s="15" t="n">
        <v>1</v>
      </c>
      <c r="F11" s="16" t="n">
        <f aca="false">קטלוג!F14</f>
        <v>300</v>
      </c>
      <c r="G11" s="14" t="n">
        <f aca="false">קטלוג!G14</f>
        <v>1</v>
      </c>
    </row>
    <row r="12" customFormat="false" ht="15" hidden="false" customHeight="false" outlineLevel="0" collapsed="false">
      <c r="A12" s="14" t="str">
        <f aca="false">קטלוג!C15</f>
        <v>Switcher (בקרת דוד)</v>
      </c>
      <c r="B12" s="16" t="n">
        <f aca="false">קטלוג!H15</f>
        <v>790</v>
      </c>
      <c r="C12" s="15" t="n">
        <v>1</v>
      </c>
      <c r="D12" s="15" t="n">
        <v>1</v>
      </c>
      <c r="E12" s="15" t="n">
        <v>1</v>
      </c>
      <c r="F12" s="16" t="n">
        <f aca="false">קטלוג!F15</f>
        <v>250</v>
      </c>
      <c r="G12" s="14" t="n">
        <f aca="false">קטלוג!G15</f>
        <v>1</v>
      </c>
    </row>
    <row r="13" customFormat="false" ht="15" hidden="false" customHeight="false" outlineLevel="0" collapsed="false">
      <c r="A13" s="14" t="str">
        <f aca="false">קטלוג!C16</f>
        <v>Shelly EM (מדידה חד-פאזית)</v>
      </c>
      <c r="B13" s="16" t="n">
        <f aca="false">קטלוג!H16</f>
        <v>680</v>
      </c>
      <c r="C13" s="15" t="n">
        <v>1</v>
      </c>
      <c r="D13" s="15" t="n">
        <v>1</v>
      </c>
      <c r="E13" s="15" t="n">
        <v>0</v>
      </c>
      <c r="F13" s="16" t="n">
        <f aca="false">קטלוג!F16</f>
        <v>250</v>
      </c>
      <c r="G13" s="14" t="n">
        <f aca="false">קטלוג!G16</f>
        <v>1</v>
      </c>
    </row>
    <row r="14" customFormat="false" ht="15" hidden="false" customHeight="false" outlineLevel="0" collapsed="false">
      <c r="A14" s="14" t="str">
        <f aca="false">קטלוג!C17</f>
        <v>Shelly Pro 3EM (מדידה תלת-פאזית)</v>
      </c>
      <c r="B14" s="16" t="n">
        <f aca="false">קטלוג!H17</f>
        <v>1220</v>
      </c>
      <c r="C14" s="15" t="n">
        <v>0</v>
      </c>
      <c r="D14" s="15" t="n">
        <v>0</v>
      </c>
      <c r="E14" s="15" t="n">
        <v>1</v>
      </c>
      <c r="F14" s="16" t="n">
        <f aca="false">קטלוג!F17</f>
        <v>350</v>
      </c>
      <c r="G14" s="14" t="n">
        <f aca="false">קטלוג!G17</f>
        <v>1</v>
      </c>
    </row>
    <row r="15" customFormat="false" ht="15" hidden="false" customHeight="false" outlineLevel="0" collapsed="false">
      <c r="A15" s="14" t="str">
        <f aca="false">קטלוג!C18</f>
        <v>Shelly 1PM (מתג תאורה, לכל נקודה)</v>
      </c>
      <c r="B15" s="16" t="n">
        <f aca="false">קטלוג!H18</f>
        <v>330</v>
      </c>
      <c r="C15" s="15" t="n">
        <v>3</v>
      </c>
      <c r="D15" s="15" t="n">
        <v>5</v>
      </c>
      <c r="E15" s="15" t="n">
        <v>10</v>
      </c>
      <c r="F15" s="16" t="n">
        <f aca="false">קטלוג!F18</f>
        <v>150</v>
      </c>
      <c r="G15" s="14" t="n">
        <f aca="false">קטלוג!G18</f>
        <v>1</v>
      </c>
    </row>
    <row r="16" customFormat="false" ht="15" hidden="false" customHeight="false" outlineLevel="0" collapsed="false">
      <c r="A16" s="14" t="str">
        <f aca="false">קטלוג!C19</f>
        <v>Shelly 2PM (תריס חשמלי)</v>
      </c>
      <c r="B16" s="16" t="n">
        <f aca="false">קטלוג!H19</f>
        <v>410</v>
      </c>
      <c r="C16" s="15" t="n">
        <v>0</v>
      </c>
      <c r="D16" s="15" t="n">
        <v>2</v>
      </c>
      <c r="E16" s="15" t="n">
        <v>5</v>
      </c>
      <c r="F16" s="16" t="n">
        <f aca="false">קטלוג!F19</f>
        <v>150</v>
      </c>
      <c r="G16" s="14" t="n">
        <f aca="false">קטלוג!G19</f>
        <v>1</v>
      </c>
    </row>
    <row r="17" customFormat="false" ht="15" hidden="false" customHeight="false" outlineLevel="0" collapsed="false">
      <c r="A17" s="14" t="str">
        <f aca="false">קטלוג!C20</f>
        <v>Shelly Dimmer (עמעם)</v>
      </c>
      <c r="B17" s="16" t="n">
        <f aca="false">קטלוג!H20</f>
        <v>400</v>
      </c>
      <c r="C17" s="15" t="n">
        <v>0</v>
      </c>
      <c r="D17" s="15" t="n">
        <v>2</v>
      </c>
      <c r="E17" s="15" t="n">
        <v>4</v>
      </c>
      <c r="F17" s="16" t="n">
        <f aca="false">קטלוג!F20</f>
        <v>150</v>
      </c>
      <c r="G17" s="14" t="n">
        <f aca="false">קטלוג!G20</f>
        <v>1</v>
      </c>
    </row>
    <row r="18" customFormat="false" ht="15" hidden="false" customHeight="false" outlineLevel="0" collapsed="false">
      <c r="A18" s="14" t="str">
        <f aca="false">קטלוג!C21</f>
        <v>חיישן פתיחה/סגירה (דלת/חלון)</v>
      </c>
      <c r="B18" s="16" t="n">
        <f aca="false">קטלוג!H21</f>
        <v>140</v>
      </c>
      <c r="C18" s="15" t="n">
        <v>4</v>
      </c>
      <c r="D18" s="15" t="n">
        <v>7</v>
      </c>
      <c r="E18" s="15" t="n">
        <v>12</v>
      </c>
      <c r="F18" s="16" t="n">
        <f aca="false">קטלוג!F21</f>
        <v>0</v>
      </c>
      <c r="G18" s="14" t="n">
        <f aca="false">קטלוג!G21</f>
        <v>1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9" t="s">
        <v>134</v>
      </c>
      <c r="B20" s="2"/>
      <c r="C20" s="22" t="n">
        <f aca="false">SUMPRODUCT($B$5:$B$18,C5:C18)</f>
        <v>4850</v>
      </c>
      <c r="D20" s="22" t="n">
        <f aca="false">SUMPRODUCT($B$5:$B$18,D5:D18)</f>
        <v>10240</v>
      </c>
      <c r="E20" s="22" t="n">
        <f aca="false">SUMPRODUCT($B$5:$B$18,E5:E18)</f>
        <v>17340</v>
      </c>
      <c r="F20" s="2"/>
      <c r="G20" s="2"/>
    </row>
    <row r="21" customFormat="false" ht="15" hidden="false" customHeight="false" outlineLevel="0" collapsed="false">
      <c r="A21" s="9" t="s">
        <v>135</v>
      </c>
      <c r="B21" s="2"/>
      <c r="C21" s="22" t="n">
        <f aca="false">'חבילה בסיסית'!$D$10</f>
        <v>3480</v>
      </c>
      <c r="D21" s="22" t="n">
        <f aca="false">'חבילה בסיסית'!$D$10</f>
        <v>3480</v>
      </c>
      <c r="E21" s="22" t="n">
        <f aca="false">'חבילה בסיסית'!$D$10</f>
        <v>3480</v>
      </c>
      <c r="F21" s="2"/>
      <c r="G21" s="2"/>
    </row>
    <row r="22" customFormat="false" ht="15" hidden="false" customHeight="false" outlineLevel="0" collapsed="false">
      <c r="A22" s="9" t="s">
        <v>136</v>
      </c>
      <c r="B22" s="2"/>
      <c r="C22" s="22" t="n">
        <f aca="false">IF(SUMPRODUCT(($F$5:$F$18&gt;0)*C5:C18)&gt;0,הנחות!$B$7,0)</f>
        <v>400</v>
      </c>
      <c r="D22" s="22" t="n">
        <f aca="false">IF(SUMPRODUCT(($F$5:$F$18&gt;0)*D5:D18)&gt;0,הנחות!$B$7,0)</f>
        <v>400</v>
      </c>
      <c r="E22" s="22" t="n">
        <f aca="false">IF(SUMPRODUCT(($F$5:$F$18&gt;0)*E5:E18)&gt;0,הנחות!$B$7,0)</f>
        <v>400</v>
      </c>
      <c r="F22" s="2"/>
      <c r="G22" s="2"/>
    </row>
    <row r="23" customFormat="false" ht="15" hidden="false" customHeight="false" outlineLevel="0" collapsed="false">
      <c r="A23" s="9" t="s">
        <v>137</v>
      </c>
      <c r="B23" s="2"/>
      <c r="C23" s="19" t="n">
        <f aca="false">SUM(C20:C22)</f>
        <v>8730</v>
      </c>
      <c r="D23" s="19" t="n">
        <f aca="false">SUM(D20:D22)</f>
        <v>14120</v>
      </c>
      <c r="E23" s="19" t="n">
        <f aca="false">SUM(E20:E22)</f>
        <v>21220</v>
      </c>
      <c r="F23" s="2"/>
      <c r="G23" s="2"/>
    </row>
    <row r="24" customFormat="false" ht="15" hidden="false" customHeight="false" outlineLevel="0" collapsed="false">
      <c r="A24" s="9" t="s">
        <v>138</v>
      </c>
      <c r="B24" s="2"/>
      <c r="C24" s="23" t="n">
        <v>5700</v>
      </c>
      <c r="D24" s="23" t="n">
        <v>8700</v>
      </c>
      <c r="E24" s="23" t="n">
        <v>13150</v>
      </c>
      <c r="F24" s="2"/>
      <c r="G24" s="2"/>
    </row>
    <row r="25" customFormat="false" ht="15" hidden="false" customHeight="false" outlineLevel="0" collapsed="false">
      <c r="A25" s="9" t="s">
        <v>139</v>
      </c>
      <c r="B25" s="2"/>
      <c r="C25" s="22" t="n">
        <f aca="false">C23-C24</f>
        <v>3030</v>
      </c>
      <c r="D25" s="22" t="n">
        <f aca="false">D23-D24</f>
        <v>5420</v>
      </c>
      <c r="E25" s="22" t="n">
        <f aca="false">E23-E24</f>
        <v>8070</v>
      </c>
      <c r="F25" s="2"/>
      <c r="G25" s="2"/>
    </row>
    <row r="26" customFormat="false" ht="15" hidden="false" customHeight="false" outlineLevel="0" collapsed="false">
      <c r="A26" s="9" t="s">
        <v>115</v>
      </c>
      <c r="B26" s="2"/>
      <c r="C26" s="24" t="n">
        <f aca="false">'חבילה בסיסית'!$E$10+SUMPRODUCT($G$5:$G$18,C5:C18)</f>
        <v>17</v>
      </c>
      <c r="D26" s="24" t="n">
        <f aca="false">'חבילה בסיסית'!$E$10+SUMPRODUCT($G$5:$G$18,D5:D18)</f>
        <v>32</v>
      </c>
      <c r="E26" s="24" t="n">
        <f aca="false">'חבילה בסיסית'!$E$10+SUMPRODUCT($G$5:$G$18,E5:E18)</f>
        <v>54</v>
      </c>
      <c r="F26" s="2"/>
      <c r="G26" s="2"/>
    </row>
    <row r="27" customFormat="false" ht="15" hidden="false" customHeight="false" outlineLevel="0" collapsed="false">
      <c r="A27" s="9" t="s">
        <v>121</v>
      </c>
      <c r="B27" s="2"/>
      <c r="C27" s="22" t="n">
        <f aca="false">INDEX(ריטיינר!$C$4:$C$6,MATCH(C26,ריטיינר!$A$4:$A$6,1))</f>
        <v>160</v>
      </c>
      <c r="D27" s="22" t="n">
        <f aca="false">INDEX(ריטיינר!$C$4:$C$6,MATCH(D26,ריטיינר!$A$4:$A$6,1))</f>
        <v>220</v>
      </c>
      <c r="E27" s="22" t="n">
        <f aca="false">INDEX(ריטיינר!$C$4:$C$6,MATCH(E26,ריטיינר!$A$4:$A$6,1))</f>
        <v>350</v>
      </c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3" t="s">
        <v>140</v>
      </c>
      <c r="B29" s="2"/>
      <c r="C29" s="2"/>
      <c r="D29" s="2"/>
      <c r="E29" s="2"/>
      <c r="F29" s="2"/>
      <c r="G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1" t="s">
        <v>141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142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6.85" hidden="false" customHeight="false" outlineLevel="0" collapsed="false">
      <c r="A4" s="4" t="s">
        <v>44</v>
      </c>
      <c r="B4" s="4" t="s">
        <v>25</v>
      </c>
      <c r="C4" s="4" t="s">
        <v>112</v>
      </c>
      <c r="D4" s="4" t="s">
        <v>113</v>
      </c>
      <c r="E4" s="4" t="s">
        <v>114</v>
      </c>
      <c r="F4" s="4" t="s">
        <v>143</v>
      </c>
      <c r="G4" s="4" t="s">
        <v>115</v>
      </c>
    </row>
    <row r="5" customFormat="false" ht="15" hidden="false" customHeight="false" outlineLevel="0" collapsed="false">
      <c r="A5" s="12" t="s">
        <v>144</v>
      </c>
      <c r="B5" s="12" t="s">
        <v>79</v>
      </c>
      <c r="C5" s="12" t="n">
        <v>3</v>
      </c>
      <c r="D5" s="25" t="n">
        <f aca="false">IF(B5="","",INDEX(קטלוג!$H$5:$H$28,MATCH(B5,קטלוג!$C$5:$C$28,0)))</f>
        <v>330</v>
      </c>
      <c r="E5" s="25" t="n">
        <f aca="false">IF(B5="","",C5*D5)</f>
        <v>990</v>
      </c>
      <c r="F5" s="26" t="n">
        <f aca="false">IF(B5="","",IF(INDEX(קטלוג!$F$5:$F$28,MATCH(B5,קטלוג!$C$5:$C$28,0))&gt;0,1,0))</f>
        <v>1</v>
      </c>
      <c r="G5" s="26" t="n">
        <f aca="false">IF(B5="","",C5*INDEX(קטלוג!$G$5:$G$28,MATCH(B5,קטלוג!$C$5:$C$28,0)))</f>
        <v>3</v>
      </c>
    </row>
    <row r="6" customFormat="false" ht="15" hidden="false" customHeight="false" outlineLevel="0" collapsed="false">
      <c r="A6" s="12"/>
      <c r="B6" s="12"/>
      <c r="C6" s="12"/>
      <c r="D6" s="25" t="str">
        <f aca="false">IF(B6="","",INDEX(קטלוג!$H$5:$H$28,MATCH(B6,קטלוג!$C$5:$C$28,0)))</f>
        <v/>
      </c>
      <c r="E6" s="25" t="str">
        <f aca="false">IF(B6="","",C6*D6)</f>
        <v/>
      </c>
      <c r="F6" s="26" t="str">
        <f aca="false">IF(B6="","",IF(INDEX(קטלוג!$F$5:$F$28,MATCH(B6,קטלוג!$C$5:$C$28,0))&gt;0,1,0))</f>
        <v/>
      </c>
      <c r="G6" s="26" t="str">
        <f aca="false">IF(B6="","",C6*INDEX(קטלוג!$G$5:$G$28,MATCH(B6,קטלוג!$C$5:$C$28,0)))</f>
        <v/>
      </c>
    </row>
    <row r="7" customFormat="false" ht="15" hidden="false" customHeight="false" outlineLevel="0" collapsed="false">
      <c r="A7" s="12"/>
      <c r="B7" s="12"/>
      <c r="C7" s="12"/>
      <c r="D7" s="25" t="str">
        <f aca="false">IF(B7="","",INDEX(קטלוג!$H$5:$H$28,MATCH(B7,קטלוג!$C$5:$C$28,0)))</f>
        <v/>
      </c>
      <c r="E7" s="25" t="str">
        <f aca="false">IF(B7="","",C7*D7)</f>
        <v/>
      </c>
      <c r="F7" s="26" t="str">
        <f aca="false">IF(B7="","",IF(INDEX(קטלוג!$F$5:$F$28,MATCH(B7,קטלוג!$C$5:$C$28,0))&gt;0,1,0))</f>
        <v/>
      </c>
      <c r="G7" s="26" t="str">
        <f aca="false">IF(B7="","",C7*INDEX(קטלוג!$G$5:$G$28,MATCH(B7,קטלוג!$C$5:$C$28,0)))</f>
        <v/>
      </c>
    </row>
    <row r="8" customFormat="false" ht="15" hidden="false" customHeight="false" outlineLevel="0" collapsed="false">
      <c r="A8" s="12"/>
      <c r="B8" s="12"/>
      <c r="C8" s="12"/>
      <c r="D8" s="25" t="str">
        <f aca="false">IF(B8="","",INDEX(קטלוג!$H$5:$H$28,MATCH(B8,קטלוג!$C$5:$C$28,0)))</f>
        <v/>
      </c>
      <c r="E8" s="25" t="str">
        <f aca="false">IF(B8="","",C8*D8)</f>
        <v/>
      </c>
      <c r="F8" s="26" t="str">
        <f aca="false">IF(B8="","",IF(INDEX(קטלוג!$F$5:$F$28,MATCH(B8,קטלוג!$C$5:$C$28,0))&gt;0,1,0))</f>
        <v/>
      </c>
      <c r="G8" s="26" t="str">
        <f aca="false">IF(B8="","",C8*INDEX(קטלוג!$G$5:$G$28,MATCH(B8,קטלוג!$C$5:$C$28,0)))</f>
        <v/>
      </c>
    </row>
    <row r="9" customFormat="false" ht="15" hidden="false" customHeight="false" outlineLevel="0" collapsed="false">
      <c r="A9" s="12"/>
      <c r="B9" s="12"/>
      <c r="C9" s="12"/>
      <c r="D9" s="25" t="str">
        <f aca="false">IF(B9="","",INDEX(קטלוג!$H$5:$H$28,MATCH(B9,קטלוג!$C$5:$C$28,0)))</f>
        <v/>
      </c>
      <c r="E9" s="25" t="str">
        <f aca="false">IF(B9="","",C9*D9)</f>
        <v/>
      </c>
      <c r="F9" s="26" t="str">
        <f aca="false">IF(B9="","",IF(INDEX(קטלוג!$F$5:$F$28,MATCH(B9,קטלוג!$C$5:$C$28,0))&gt;0,1,0))</f>
        <v/>
      </c>
      <c r="G9" s="26" t="str">
        <f aca="false">IF(B9="","",C9*INDEX(קטלוג!$G$5:$G$28,MATCH(B9,קטלוג!$C$5:$C$28,0)))</f>
        <v/>
      </c>
    </row>
    <row r="10" customFormat="false" ht="15" hidden="false" customHeight="false" outlineLevel="0" collapsed="false">
      <c r="A10" s="12"/>
      <c r="B10" s="12"/>
      <c r="C10" s="12"/>
      <c r="D10" s="25" t="str">
        <f aca="false">IF(B10="","",INDEX(קטלוג!$H$5:$H$28,MATCH(B10,קטלוג!$C$5:$C$28,0)))</f>
        <v/>
      </c>
      <c r="E10" s="25" t="str">
        <f aca="false">IF(B10="","",C10*D10)</f>
        <v/>
      </c>
      <c r="F10" s="26" t="str">
        <f aca="false">IF(B10="","",IF(INDEX(קטלוג!$F$5:$F$28,MATCH(B10,קטלוג!$C$5:$C$28,0))&gt;0,1,0))</f>
        <v/>
      </c>
      <c r="G10" s="26" t="str">
        <f aca="false">IF(B10="","",C10*INDEX(קטלוג!$G$5:$G$28,MATCH(B10,קטלוג!$C$5:$C$28,0)))</f>
        <v/>
      </c>
    </row>
    <row r="11" customFormat="false" ht="15" hidden="false" customHeight="false" outlineLevel="0" collapsed="false">
      <c r="A11" s="12"/>
      <c r="B11" s="12"/>
      <c r="C11" s="12"/>
      <c r="D11" s="25" t="str">
        <f aca="false">IF(B11="","",INDEX(קטלוג!$H$5:$H$28,MATCH(B11,קטלוג!$C$5:$C$28,0)))</f>
        <v/>
      </c>
      <c r="E11" s="25" t="str">
        <f aca="false">IF(B11="","",C11*D11)</f>
        <v/>
      </c>
      <c r="F11" s="26" t="str">
        <f aca="false">IF(B11="","",IF(INDEX(קטלוג!$F$5:$F$28,MATCH(B11,קטלוג!$C$5:$C$28,0))&gt;0,1,0))</f>
        <v/>
      </c>
      <c r="G11" s="26" t="str">
        <f aca="false">IF(B11="","",C11*INDEX(קטלוג!$G$5:$G$28,MATCH(B11,קטלוג!$C$5:$C$28,0)))</f>
        <v/>
      </c>
    </row>
    <row r="12" customFormat="false" ht="15" hidden="false" customHeight="false" outlineLevel="0" collapsed="false">
      <c r="A12" s="12"/>
      <c r="B12" s="12"/>
      <c r="C12" s="12"/>
      <c r="D12" s="25" t="str">
        <f aca="false">IF(B12="","",INDEX(קטלוג!$H$5:$H$28,MATCH(B12,קטלוג!$C$5:$C$28,0)))</f>
        <v/>
      </c>
      <c r="E12" s="25" t="str">
        <f aca="false">IF(B12="","",C12*D12)</f>
        <v/>
      </c>
      <c r="F12" s="26" t="str">
        <f aca="false">IF(B12="","",IF(INDEX(קטלוג!$F$5:$F$28,MATCH(B12,קטלוג!$C$5:$C$28,0))&gt;0,1,0))</f>
        <v/>
      </c>
      <c r="G12" s="26" t="str">
        <f aca="false">IF(B12="","",C12*INDEX(קטלוג!$G$5:$G$28,MATCH(B12,קטלוג!$C$5:$C$28,0)))</f>
        <v/>
      </c>
    </row>
    <row r="13" customFormat="false" ht="15" hidden="false" customHeight="false" outlineLevel="0" collapsed="false">
      <c r="A13" s="12"/>
      <c r="B13" s="12"/>
      <c r="C13" s="12"/>
      <c r="D13" s="25" t="str">
        <f aca="false">IF(B13="","",INDEX(קטלוג!$H$5:$H$28,MATCH(B13,קטלוג!$C$5:$C$28,0)))</f>
        <v/>
      </c>
      <c r="E13" s="25" t="str">
        <f aca="false">IF(B13="","",C13*D13)</f>
        <v/>
      </c>
      <c r="F13" s="26" t="str">
        <f aca="false">IF(B13="","",IF(INDEX(קטלוג!$F$5:$F$28,MATCH(B13,קטלוג!$C$5:$C$28,0))&gt;0,1,0))</f>
        <v/>
      </c>
      <c r="G13" s="26" t="str">
        <f aca="false">IF(B13="","",C13*INDEX(קטלוג!$G$5:$G$28,MATCH(B13,קטלוג!$C$5:$C$28,0)))</f>
        <v/>
      </c>
    </row>
    <row r="14" customFormat="false" ht="15" hidden="false" customHeight="false" outlineLevel="0" collapsed="false">
      <c r="A14" s="12"/>
      <c r="B14" s="12"/>
      <c r="C14" s="12"/>
      <c r="D14" s="25" t="str">
        <f aca="false">IF(B14="","",INDEX(קטלוג!$H$5:$H$28,MATCH(B14,קטלוג!$C$5:$C$28,0)))</f>
        <v/>
      </c>
      <c r="E14" s="25" t="str">
        <f aca="false">IF(B14="","",C14*D14)</f>
        <v/>
      </c>
      <c r="F14" s="26" t="str">
        <f aca="false">IF(B14="","",IF(INDEX(קטלוג!$F$5:$F$28,MATCH(B14,קטלוג!$C$5:$C$28,0))&gt;0,1,0))</f>
        <v/>
      </c>
      <c r="G14" s="26" t="str">
        <f aca="false">IF(B14="","",C14*INDEX(קטלוג!$G$5:$G$28,MATCH(B14,קטלוג!$C$5:$C$28,0)))</f>
        <v/>
      </c>
    </row>
    <row r="15" customFormat="false" ht="15" hidden="false" customHeight="false" outlineLevel="0" collapsed="false">
      <c r="A15" s="12"/>
      <c r="B15" s="12"/>
      <c r="C15" s="12"/>
      <c r="D15" s="25" t="str">
        <f aca="false">IF(B15="","",INDEX(קטלוג!$H$5:$H$28,MATCH(B15,קטלוג!$C$5:$C$28,0)))</f>
        <v/>
      </c>
      <c r="E15" s="25" t="str">
        <f aca="false">IF(B15="","",C15*D15)</f>
        <v/>
      </c>
      <c r="F15" s="26" t="str">
        <f aca="false">IF(B15="","",IF(INDEX(קטלוג!$F$5:$F$28,MATCH(B15,קטלוג!$C$5:$C$28,0))&gt;0,1,0))</f>
        <v/>
      </c>
      <c r="G15" s="26" t="str">
        <f aca="false">IF(B15="","",C15*INDEX(קטלוג!$G$5:$G$28,MATCH(B15,קטלוג!$C$5:$C$28,0)))</f>
        <v/>
      </c>
    </row>
    <row r="16" customFormat="false" ht="15" hidden="false" customHeight="false" outlineLevel="0" collapsed="false">
      <c r="A16" s="12"/>
      <c r="B16" s="12"/>
      <c r="C16" s="12"/>
      <c r="D16" s="25" t="str">
        <f aca="false">IF(B16="","",INDEX(קטלוג!$H$5:$H$28,MATCH(B16,קטלוג!$C$5:$C$28,0)))</f>
        <v/>
      </c>
      <c r="E16" s="25" t="str">
        <f aca="false">IF(B16="","",C16*D16)</f>
        <v/>
      </c>
      <c r="F16" s="26" t="str">
        <f aca="false">IF(B16="","",IF(INDEX(קטלוג!$F$5:$F$28,MATCH(B16,קטלוג!$C$5:$C$28,0))&gt;0,1,0))</f>
        <v/>
      </c>
      <c r="G16" s="26" t="str">
        <f aca="false">IF(B16="","",C16*INDEX(קטלוג!$G$5:$G$28,MATCH(B16,קטלוג!$C$5:$C$28,0)))</f>
        <v/>
      </c>
    </row>
    <row r="17" customFormat="false" ht="15" hidden="false" customHeight="false" outlineLevel="0" collapsed="false">
      <c r="A17" s="12"/>
      <c r="B17" s="12"/>
      <c r="C17" s="12"/>
      <c r="D17" s="25" t="str">
        <f aca="false">IF(B17="","",INDEX(קטלוג!$H$5:$H$28,MATCH(B17,קטלוג!$C$5:$C$28,0)))</f>
        <v/>
      </c>
      <c r="E17" s="25" t="str">
        <f aca="false">IF(B17="","",C17*D17)</f>
        <v/>
      </c>
      <c r="F17" s="26" t="str">
        <f aca="false">IF(B17="","",IF(INDEX(קטלוג!$F$5:$F$28,MATCH(B17,קטלוג!$C$5:$C$28,0))&gt;0,1,0))</f>
        <v/>
      </c>
      <c r="G17" s="26" t="str">
        <f aca="false">IF(B17="","",C17*INDEX(קטלוג!$G$5:$G$28,MATCH(B17,קטלוג!$C$5:$C$28,0)))</f>
        <v/>
      </c>
    </row>
    <row r="18" customFormat="false" ht="15" hidden="false" customHeight="false" outlineLevel="0" collapsed="false">
      <c r="A18" s="12"/>
      <c r="B18" s="12"/>
      <c r="C18" s="12"/>
      <c r="D18" s="25" t="str">
        <f aca="false">IF(B18="","",INDEX(קטלוג!$H$5:$H$28,MATCH(B18,קטלוג!$C$5:$C$28,0)))</f>
        <v/>
      </c>
      <c r="E18" s="25" t="str">
        <f aca="false">IF(B18="","",C18*D18)</f>
        <v/>
      </c>
      <c r="F18" s="26" t="str">
        <f aca="false">IF(B18="","",IF(INDEX(קטלוג!$F$5:$F$28,MATCH(B18,קטלוג!$C$5:$C$28,0))&gt;0,1,0))</f>
        <v/>
      </c>
      <c r="G18" s="26" t="str">
        <f aca="false">IF(B18="","",C18*INDEX(קטלוג!$G$5:$G$28,MATCH(B18,קטלוג!$C$5:$C$28,0)))</f>
        <v/>
      </c>
    </row>
    <row r="19" customFormat="false" ht="15" hidden="false" customHeight="false" outlineLevel="0" collapsed="false">
      <c r="A19" s="12"/>
      <c r="B19" s="12"/>
      <c r="C19" s="12"/>
      <c r="D19" s="25" t="str">
        <f aca="false">IF(B19="","",INDEX(קטלוג!$H$5:$H$28,MATCH(B19,קטלוג!$C$5:$C$28,0)))</f>
        <v/>
      </c>
      <c r="E19" s="25" t="str">
        <f aca="false">IF(B19="","",C19*D19)</f>
        <v/>
      </c>
      <c r="F19" s="26" t="str">
        <f aca="false">IF(B19="","",IF(INDEX(קטלוג!$F$5:$F$28,MATCH(B19,קטלוג!$C$5:$C$28,0))&gt;0,1,0))</f>
        <v/>
      </c>
      <c r="G19" s="26" t="str">
        <f aca="false">IF(B19="","",C19*INDEX(קטלוג!$G$5:$G$28,MATCH(B19,קטלוג!$C$5:$C$28,0)))</f>
        <v/>
      </c>
    </row>
    <row r="20" customFormat="false" ht="15" hidden="false" customHeight="false" outlineLevel="0" collapsed="false">
      <c r="A20" s="12"/>
      <c r="B20" s="12"/>
      <c r="C20" s="12"/>
      <c r="D20" s="25" t="str">
        <f aca="false">IF(B20="","",INDEX(קטלוג!$H$5:$H$28,MATCH(B20,קטלוג!$C$5:$C$28,0)))</f>
        <v/>
      </c>
      <c r="E20" s="25" t="str">
        <f aca="false">IF(B20="","",C20*D20)</f>
        <v/>
      </c>
      <c r="F20" s="26" t="str">
        <f aca="false">IF(B20="","",IF(INDEX(קטלוג!$F$5:$F$28,MATCH(B20,קטלוג!$C$5:$C$28,0))&gt;0,1,0))</f>
        <v/>
      </c>
      <c r="G20" s="26" t="str">
        <f aca="false">IF(B20="","",C20*INDEX(קטלוג!$G$5:$G$28,MATCH(B20,קטלוג!$C$5:$C$28,0)))</f>
        <v/>
      </c>
    </row>
    <row r="21" customFormat="false" ht="15" hidden="false" customHeight="false" outlineLevel="0" collapsed="false">
      <c r="A21" s="12"/>
      <c r="B21" s="12"/>
      <c r="C21" s="12"/>
      <c r="D21" s="25" t="str">
        <f aca="false">IF(B21="","",INDEX(קטלוג!$H$5:$H$28,MATCH(B21,קטלוג!$C$5:$C$28,0)))</f>
        <v/>
      </c>
      <c r="E21" s="25" t="str">
        <f aca="false">IF(B21="","",C21*D21)</f>
        <v/>
      </c>
      <c r="F21" s="26" t="str">
        <f aca="false">IF(B21="","",IF(INDEX(קטלוג!$F$5:$F$28,MATCH(B21,קטלוג!$C$5:$C$28,0))&gt;0,1,0))</f>
        <v/>
      </c>
      <c r="G21" s="26" t="str">
        <f aca="false">IF(B21="","",C21*INDEX(קטלוג!$G$5:$G$28,MATCH(B21,קטלוג!$C$5:$C$28,0)))</f>
        <v/>
      </c>
    </row>
    <row r="22" customFormat="false" ht="15" hidden="false" customHeight="false" outlineLevel="0" collapsed="false">
      <c r="A22" s="12"/>
      <c r="B22" s="12"/>
      <c r="C22" s="12"/>
      <c r="D22" s="25" t="str">
        <f aca="false">IF(B22="","",INDEX(קטלוג!$H$5:$H$28,MATCH(B22,קטלוג!$C$5:$C$28,0)))</f>
        <v/>
      </c>
      <c r="E22" s="25" t="str">
        <f aca="false">IF(B22="","",C22*D22)</f>
        <v/>
      </c>
      <c r="F22" s="26" t="str">
        <f aca="false">IF(B22="","",IF(INDEX(קטלוג!$F$5:$F$28,MATCH(B22,קטלוג!$C$5:$C$28,0))&gt;0,1,0))</f>
        <v/>
      </c>
      <c r="G22" s="26" t="str">
        <f aca="false">IF(B22="","",C22*INDEX(קטלוג!$G$5:$G$28,MATCH(B22,קטלוג!$C$5:$C$28,0)))</f>
        <v/>
      </c>
    </row>
    <row r="23" customFormat="false" ht="15" hidden="false" customHeight="false" outlineLevel="0" collapsed="false">
      <c r="A23" s="12"/>
      <c r="B23" s="12"/>
      <c r="C23" s="12"/>
      <c r="D23" s="25" t="str">
        <f aca="false">IF(B23="","",INDEX(קטלוג!$H$5:$H$28,MATCH(B23,קטלוג!$C$5:$C$28,0)))</f>
        <v/>
      </c>
      <c r="E23" s="25" t="str">
        <f aca="false">IF(B23="","",C23*D23)</f>
        <v/>
      </c>
      <c r="F23" s="26" t="str">
        <f aca="false">IF(B23="","",IF(INDEX(קטלוג!$F$5:$F$28,MATCH(B23,קטלוג!$C$5:$C$28,0))&gt;0,1,0))</f>
        <v/>
      </c>
      <c r="G23" s="26" t="str">
        <f aca="false">IF(B23="","",C23*INDEX(קטלוג!$G$5:$G$28,MATCH(B23,קטלוג!$C$5:$C$28,0)))</f>
        <v/>
      </c>
    </row>
    <row r="24" customFormat="false" ht="15" hidden="false" customHeight="false" outlineLevel="0" collapsed="false">
      <c r="A24" s="12"/>
      <c r="B24" s="12"/>
      <c r="C24" s="12"/>
      <c r="D24" s="25" t="str">
        <f aca="false">IF(B24="","",INDEX(קטלוג!$H$5:$H$28,MATCH(B24,קטלוג!$C$5:$C$28,0)))</f>
        <v/>
      </c>
      <c r="E24" s="25" t="str">
        <f aca="false">IF(B24="","",C24*D24)</f>
        <v/>
      </c>
      <c r="F24" s="26" t="str">
        <f aca="false">IF(B24="","",IF(INDEX(קטלוג!$F$5:$F$28,MATCH(B24,קטלוג!$C$5:$C$28,0))&gt;0,1,0))</f>
        <v/>
      </c>
      <c r="G24" s="26" t="str">
        <f aca="false">IF(B24="","",C24*INDEX(קטלוג!$G$5:$G$28,MATCH(B24,קטלוג!$C$5:$C$28,0)))</f>
        <v/>
      </c>
    </row>
    <row r="25" customFormat="false" ht="15" hidden="false" customHeight="false" outlineLevel="0" collapsed="false">
      <c r="A25" s="12"/>
      <c r="B25" s="12"/>
      <c r="C25" s="12"/>
      <c r="D25" s="25" t="str">
        <f aca="false">IF(B25="","",INDEX(קטלוג!$H$5:$H$28,MATCH(B25,קטלוג!$C$5:$C$28,0)))</f>
        <v/>
      </c>
      <c r="E25" s="25" t="str">
        <f aca="false">IF(B25="","",C25*D25)</f>
        <v/>
      </c>
      <c r="F25" s="26" t="str">
        <f aca="false">IF(B25="","",IF(INDEX(קטלוג!$F$5:$F$28,MATCH(B25,קטלוג!$C$5:$C$28,0))&gt;0,1,0))</f>
        <v/>
      </c>
      <c r="G25" s="26" t="str">
        <f aca="false">IF(B25="","",C25*INDEX(קטלוג!$G$5:$G$28,MATCH(B25,קטלוג!$C$5:$C$28,0)))</f>
        <v/>
      </c>
    </row>
    <row r="26" customFormat="false" ht="15" hidden="false" customHeight="false" outlineLevel="0" collapsed="false">
      <c r="A26" s="12"/>
      <c r="B26" s="12"/>
      <c r="C26" s="12"/>
      <c r="D26" s="25" t="str">
        <f aca="false">IF(B26="","",INDEX(קטלוג!$H$5:$H$28,MATCH(B26,קטלוג!$C$5:$C$28,0)))</f>
        <v/>
      </c>
      <c r="E26" s="25" t="str">
        <f aca="false">IF(B26="","",C26*D26)</f>
        <v/>
      </c>
      <c r="F26" s="26" t="str">
        <f aca="false">IF(B26="","",IF(INDEX(קטלוג!$F$5:$F$28,MATCH(B26,קטלוג!$C$5:$C$28,0))&gt;0,1,0))</f>
        <v/>
      </c>
      <c r="G26" s="26" t="str">
        <f aca="false">IF(B26="","",C26*INDEX(קטלוג!$G$5:$G$28,MATCH(B26,קטלוג!$C$5:$C$28,0)))</f>
        <v/>
      </c>
    </row>
    <row r="27" customFormat="false" ht="15" hidden="false" customHeight="false" outlineLevel="0" collapsed="false">
      <c r="A27" s="12"/>
      <c r="B27" s="12"/>
      <c r="C27" s="12"/>
      <c r="D27" s="25" t="str">
        <f aca="false">IF(B27="","",INDEX(קטלוג!$H$5:$H$28,MATCH(B27,קטלוג!$C$5:$C$28,0)))</f>
        <v/>
      </c>
      <c r="E27" s="25" t="str">
        <f aca="false">IF(B27="","",C27*D27)</f>
        <v/>
      </c>
      <c r="F27" s="26" t="str">
        <f aca="false">IF(B27="","",IF(INDEX(קטלוג!$F$5:$F$28,MATCH(B27,קטלוג!$C$5:$C$28,0))&gt;0,1,0))</f>
        <v/>
      </c>
      <c r="G27" s="26" t="str">
        <f aca="false">IF(B27="","",C27*INDEX(קטלוג!$G$5:$G$28,MATCH(B27,קטלוג!$C$5:$C$28,0)))</f>
        <v/>
      </c>
    </row>
    <row r="28" customFormat="false" ht="15" hidden="false" customHeight="false" outlineLevel="0" collapsed="false">
      <c r="A28" s="12"/>
      <c r="B28" s="12"/>
      <c r="C28" s="12"/>
      <c r="D28" s="25" t="str">
        <f aca="false">IF(B28="","",INDEX(קטלוג!$H$5:$H$28,MATCH(B28,קטלוג!$C$5:$C$28,0)))</f>
        <v/>
      </c>
      <c r="E28" s="25" t="str">
        <f aca="false">IF(B28="","",C28*D28)</f>
        <v/>
      </c>
      <c r="F28" s="26" t="str">
        <f aca="false">IF(B28="","",IF(INDEX(קטלוג!$F$5:$F$28,MATCH(B28,קטלוג!$C$5:$C$28,0))&gt;0,1,0))</f>
        <v/>
      </c>
      <c r="G28" s="26" t="str">
        <f aca="false">IF(B28="","",C28*INDEX(קטלוג!$G$5:$G$28,MATCH(B28,קטלוג!$C$5:$C$28,0)))</f>
        <v/>
      </c>
    </row>
    <row r="29" customFormat="false" ht="15" hidden="false" customHeight="false" outlineLevel="0" collapsed="false">
      <c r="A29" s="12"/>
      <c r="B29" s="12"/>
      <c r="C29" s="12"/>
      <c r="D29" s="25" t="str">
        <f aca="false">IF(B29="","",INDEX(קטלוג!$H$5:$H$28,MATCH(B29,קטלוג!$C$5:$C$28,0)))</f>
        <v/>
      </c>
      <c r="E29" s="25" t="str">
        <f aca="false">IF(B29="","",C29*D29)</f>
        <v/>
      </c>
      <c r="F29" s="26" t="str">
        <f aca="false">IF(B29="","",IF(INDEX(קטלוג!$F$5:$F$28,MATCH(B29,קטלוג!$C$5:$C$28,0))&gt;0,1,0))</f>
        <v/>
      </c>
      <c r="G29" s="26" t="str">
        <f aca="false">IF(B29="","",C29*INDEX(קטלוג!$G$5:$G$28,MATCH(B29,קטלוג!$C$5:$C$28,0)))</f>
        <v/>
      </c>
    </row>
    <row r="30" customFormat="false" ht="15" hidden="false" customHeight="false" outlineLevel="0" collapsed="false">
      <c r="A30" s="12"/>
      <c r="B30" s="12"/>
      <c r="C30" s="12"/>
      <c r="D30" s="25" t="str">
        <f aca="false">IF(B30="","",INDEX(קטלוג!$H$5:$H$28,MATCH(B30,קטלוג!$C$5:$C$28,0)))</f>
        <v/>
      </c>
      <c r="E30" s="25" t="str">
        <f aca="false">IF(B30="","",C30*D30)</f>
        <v/>
      </c>
      <c r="F30" s="26" t="str">
        <f aca="false">IF(B30="","",IF(INDEX(קטלוג!$F$5:$F$28,MATCH(B30,קטלוג!$C$5:$C$28,0))&gt;0,1,0))</f>
        <v/>
      </c>
      <c r="G30" s="26" t="str">
        <f aca="false">IF(B30="","",C30*INDEX(קטלוג!$G$5:$G$28,MATCH(B30,קטלוג!$C$5:$C$28,0)))</f>
        <v/>
      </c>
    </row>
    <row r="31" customFormat="false" ht="15" hidden="false" customHeight="false" outlineLevel="0" collapsed="false">
      <c r="A31" s="12"/>
      <c r="B31" s="12"/>
      <c r="C31" s="12"/>
      <c r="D31" s="25" t="str">
        <f aca="false">IF(B31="","",INDEX(קטלוג!$H$5:$H$28,MATCH(B31,קטלוג!$C$5:$C$28,0)))</f>
        <v/>
      </c>
      <c r="E31" s="25" t="str">
        <f aca="false">IF(B31="","",C31*D31)</f>
        <v/>
      </c>
      <c r="F31" s="26" t="str">
        <f aca="false">IF(B31="","",IF(INDEX(קטלוג!$F$5:$F$28,MATCH(B31,קטלוג!$C$5:$C$28,0))&gt;0,1,0))</f>
        <v/>
      </c>
      <c r="G31" s="26" t="str">
        <f aca="false">IF(B31="","",C31*INDEX(קטלוג!$G$5:$G$28,MATCH(B31,קטלוג!$C$5:$C$28,0)))</f>
        <v/>
      </c>
    </row>
    <row r="32" customFormat="false" ht="15" hidden="false" customHeight="false" outlineLevel="0" collapsed="false">
      <c r="A32" s="12"/>
      <c r="B32" s="12"/>
      <c r="C32" s="12"/>
      <c r="D32" s="25" t="str">
        <f aca="false">IF(B32="","",INDEX(קטלוג!$H$5:$H$28,MATCH(B32,קטלוג!$C$5:$C$28,0)))</f>
        <v/>
      </c>
      <c r="E32" s="25" t="str">
        <f aca="false">IF(B32="","",C32*D32)</f>
        <v/>
      </c>
      <c r="F32" s="26" t="str">
        <f aca="false">IF(B32="","",IF(INDEX(קטלוג!$F$5:$F$28,MATCH(B32,קטלוג!$C$5:$C$28,0))&gt;0,1,0))</f>
        <v/>
      </c>
      <c r="G32" s="26" t="str">
        <f aca="false">IF(B32="","",C32*INDEX(קטלוג!$G$5:$G$28,MATCH(B32,קטלוג!$C$5:$C$28,0)))</f>
        <v/>
      </c>
    </row>
    <row r="33" customFormat="false" ht="15" hidden="false" customHeight="false" outlineLevel="0" collapsed="false">
      <c r="A33" s="12"/>
      <c r="B33" s="12"/>
      <c r="C33" s="12"/>
      <c r="D33" s="25" t="str">
        <f aca="false">IF(B33="","",INDEX(קטלוג!$H$5:$H$28,MATCH(B33,קטלוג!$C$5:$C$28,0)))</f>
        <v/>
      </c>
      <c r="E33" s="25" t="str">
        <f aca="false">IF(B33="","",C33*D33)</f>
        <v/>
      </c>
      <c r="F33" s="26" t="str">
        <f aca="false">IF(B33="","",IF(INDEX(קטלוג!$F$5:$F$28,MATCH(B33,קטלוג!$C$5:$C$28,0))&gt;0,1,0))</f>
        <v/>
      </c>
      <c r="G33" s="26" t="str">
        <f aca="false">IF(B33="","",C33*INDEX(קטלוג!$G$5:$G$28,MATCH(B33,קטלוג!$C$5:$C$28,0)))</f>
        <v/>
      </c>
    </row>
    <row r="34" customFormat="false" ht="15" hidden="false" customHeight="false" outlineLevel="0" collapsed="false">
      <c r="A34" s="12"/>
      <c r="B34" s="12"/>
      <c r="C34" s="12"/>
      <c r="D34" s="25" t="str">
        <f aca="false">IF(B34="","",INDEX(קטלוג!$H$5:$H$28,MATCH(B34,קטלוג!$C$5:$C$28,0)))</f>
        <v/>
      </c>
      <c r="E34" s="25" t="str">
        <f aca="false">IF(B34="","",C34*D34)</f>
        <v/>
      </c>
      <c r="F34" s="26" t="str">
        <f aca="false">IF(B34="","",IF(INDEX(קטלוג!$F$5:$F$28,MATCH(B34,קטלוג!$C$5:$C$28,0))&gt;0,1,0))</f>
        <v/>
      </c>
      <c r="G34" s="26" t="str">
        <f aca="false">IF(B34="","",C34*INDEX(קטלוג!$G$5:$G$28,MATCH(B34,קטלוג!$C$5:$C$28,0)))</f>
        <v/>
      </c>
    </row>
    <row r="35" customFormat="false" ht="15" hidden="false" customHeight="false" outlineLevel="0" collapsed="false">
      <c r="A35" s="12"/>
      <c r="B35" s="12"/>
      <c r="C35" s="12"/>
      <c r="D35" s="25" t="str">
        <f aca="false">IF(B35="","",INDEX(קטלוג!$H$5:$H$28,MATCH(B35,קטלוג!$C$5:$C$28,0)))</f>
        <v/>
      </c>
      <c r="E35" s="25" t="str">
        <f aca="false">IF(B35="","",C35*D35)</f>
        <v/>
      </c>
      <c r="F35" s="26" t="str">
        <f aca="false">IF(B35="","",IF(INDEX(קטלוג!$F$5:$F$28,MATCH(B35,קטלוג!$C$5:$C$28,0))&gt;0,1,0))</f>
        <v/>
      </c>
      <c r="G35" s="26" t="str">
        <f aca="false">IF(B35="","",C35*INDEX(קטלוג!$G$5:$G$28,MATCH(B35,קטלוג!$C$5:$C$28,0)))</f>
        <v/>
      </c>
    </row>
    <row r="36" customFormat="false" ht="15" hidden="false" customHeight="false" outlineLevel="0" collapsed="false">
      <c r="A36" s="12"/>
      <c r="B36" s="12"/>
      <c r="C36" s="12"/>
      <c r="D36" s="25" t="str">
        <f aca="false">IF(B36="","",INDEX(קטלוג!$H$5:$H$28,MATCH(B36,קטלוג!$C$5:$C$28,0)))</f>
        <v/>
      </c>
      <c r="E36" s="25" t="str">
        <f aca="false">IF(B36="","",C36*D36)</f>
        <v/>
      </c>
      <c r="F36" s="26" t="str">
        <f aca="false">IF(B36="","",IF(INDEX(קטלוג!$F$5:$F$28,MATCH(B36,קטלוג!$C$5:$C$28,0))&gt;0,1,0))</f>
        <v/>
      </c>
      <c r="G36" s="26" t="str">
        <f aca="false">IF(B36="","",C36*INDEX(קטלוג!$G$5:$G$28,MATCH(B36,קטלוג!$C$5:$C$28,0)))</f>
        <v/>
      </c>
    </row>
    <row r="37" customFormat="false" ht="15" hidden="false" customHeight="false" outlineLevel="0" collapsed="false">
      <c r="A37" s="12"/>
      <c r="B37" s="12"/>
      <c r="C37" s="12"/>
      <c r="D37" s="25" t="str">
        <f aca="false">IF(B37="","",INDEX(קטלוג!$H$5:$H$28,MATCH(B37,קטלוג!$C$5:$C$28,0)))</f>
        <v/>
      </c>
      <c r="E37" s="25" t="str">
        <f aca="false">IF(B37="","",C37*D37)</f>
        <v/>
      </c>
      <c r="F37" s="26" t="str">
        <f aca="false">IF(B37="","",IF(INDEX(קטלוג!$F$5:$F$28,MATCH(B37,קטלוג!$C$5:$C$28,0))&gt;0,1,0))</f>
        <v/>
      </c>
      <c r="G37" s="26" t="str">
        <f aca="false">IF(B37="","",C37*INDEX(קטלוג!$G$5:$G$28,MATCH(B37,קטלוג!$C$5:$C$28,0)))</f>
        <v/>
      </c>
    </row>
    <row r="38" customFormat="false" ht="15" hidden="false" customHeight="false" outlineLevel="0" collapsed="false">
      <c r="A38" s="12"/>
      <c r="B38" s="12"/>
      <c r="C38" s="12"/>
      <c r="D38" s="25" t="str">
        <f aca="false">IF(B38="","",INDEX(קטלוג!$H$5:$H$28,MATCH(B38,קטלוג!$C$5:$C$28,0)))</f>
        <v/>
      </c>
      <c r="E38" s="25" t="str">
        <f aca="false">IF(B38="","",C38*D38)</f>
        <v/>
      </c>
      <c r="F38" s="26" t="str">
        <f aca="false">IF(B38="","",IF(INDEX(קטלוג!$F$5:$F$28,MATCH(B38,קטלוג!$C$5:$C$28,0))&gt;0,1,0))</f>
        <v/>
      </c>
      <c r="G38" s="26" t="str">
        <f aca="false">IF(B38="","",C38*INDEX(קטלוג!$G$5:$G$28,MATCH(B38,קטלוג!$C$5:$C$28,0)))</f>
        <v/>
      </c>
    </row>
    <row r="39" customFormat="false" ht="15" hidden="false" customHeight="false" outlineLevel="0" collapsed="false">
      <c r="A39" s="12"/>
      <c r="B39" s="12"/>
      <c r="C39" s="12"/>
      <c r="D39" s="25" t="str">
        <f aca="false">IF(B39="","",INDEX(קטלוג!$H$5:$H$28,MATCH(B39,קטלוג!$C$5:$C$28,0)))</f>
        <v/>
      </c>
      <c r="E39" s="25" t="str">
        <f aca="false">IF(B39="","",C39*D39)</f>
        <v/>
      </c>
      <c r="F39" s="26" t="str">
        <f aca="false">IF(B39="","",IF(INDEX(קטלוג!$F$5:$F$28,MATCH(B39,קטלוג!$C$5:$C$28,0))&gt;0,1,0))</f>
        <v/>
      </c>
      <c r="G39" s="26" t="str">
        <f aca="false">IF(B39="","",C39*INDEX(קטלוג!$G$5:$G$28,MATCH(B39,קטלוג!$C$5:$C$28,0)))</f>
        <v/>
      </c>
    </row>
    <row r="40" customFormat="false" ht="15" hidden="false" customHeight="false" outlineLevel="0" collapsed="false">
      <c r="A40" s="12"/>
      <c r="B40" s="12"/>
      <c r="C40" s="12"/>
      <c r="D40" s="25" t="str">
        <f aca="false">IF(B40="","",INDEX(קטלוג!$H$5:$H$28,MATCH(B40,קטלוג!$C$5:$C$28,0)))</f>
        <v/>
      </c>
      <c r="E40" s="25" t="str">
        <f aca="false">IF(B40="","",C40*D40)</f>
        <v/>
      </c>
      <c r="F40" s="26" t="str">
        <f aca="false">IF(B40="","",IF(INDEX(קטלוג!$F$5:$F$28,MATCH(B40,קטלוג!$C$5:$C$28,0))&gt;0,1,0))</f>
        <v/>
      </c>
      <c r="G40" s="26" t="str">
        <f aca="false">IF(B40="","",C40*INDEX(קטלוג!$G$5:$G$28,MATCH(B40,קטלוג!$C$5:$C$28,0)))</f>
        <v/>
      </c>
    </row>
    <row r="41" customFormat="false" ht="15" hidden="false" customHeight="false" outlineLevel="0" collapsed="false">
      <c r="A41" s="12"/>
      <c r="B41" s="12"/>
      <c r="C41" s="12"/>
      <c r="D41" s="25" t="str">
        <f aca="false">IF(B41="","",INDEX(קטלוג!$H$5:$H$28,MATCH(B41,קטלוג!$C$5:$C$28,0)))</f>
        <v/>
      </c>
      <c r="E41" s="25" t="str">
        <f aca="false">IF(B41="","",C41*D41)</f>
        <v/>
      </c>
      <c r="F41" s="26" t="str">
        <f aca="false">IF(B41="","",IF(INDEX(קטלוג!$F$5:$F$28,MATCH(B41,קטלוג!$C$5:$C$28,0))&gt;0,1,0))</f>
        <v/>
      </c>
      <c r="G41" s="26" t="str">
        <f aca="false">IF(B41="","",C41*INDEX(קטלוג!$G$5:$G$28,MATCH(B41,קטלוג!$C$5:$C$28,0)))</f>
        <v/>
      </c>
    </row>
    <row r="42" customFormat="false" ht="15" hidden="false" customHeight="false" outlineLevel="0" collapsed="false">
      <c r="A42" s="12"/>
      <c r="B42" s="12"/>
      <c r="C42" s="12"/>
      <c r="D42" s="25" t="str">
        <f aca="false">IF(B42="","",INDEX(קטלוג!$H$5:$H$28,MATCH(B42,קטלוג!$C$5:$C$28,0)))</f>
        <v/>
      </c>
      <c r="E42" s="25" t="str">
        <f aca="false">IF(B42="","",C42*D42)</f>
        <v/>
      </c>
      <c r="F42" s="26" t="str">
        <f aca="false">IF(B42="","",IF(INDEX(קטלוג!$F$5:$F$28,MATCH(B42,קטלוג!$C$5:$C$28,0))&gt;0,1,0))</f>
        <v/>
      </c>
      <c r="G42" s="26" t="str">
        <f aca="false">IF(B42="","",C42*INDEX(קטלוג!$G$5:$G$28,MATCH(B42,קטלוג!$C$5:$C$28,0)))</f>
        <v/>
      </c>
    </row>
    <row r="43" customFormat="false" ht="15" hidden="false" customHeight="false" outlineLevel="0" collapsed="false">
      <c r="A43" s="12"/>
      <c r="B43" s="12"/>
      <c r="C43" s="12"/>
      <c r="D43" s="25" t="str">
        <f aca="false">IF(B43="","",INDEX(קטלוג!$H$5:$H$28,MATCH(B43,קטלוג!$C$5:$C$28,0)))</f>
        <v/>
      </c>
      <c r="E43" s="25" t="str">
        <f aca="false">IF(B43="","",C43*D43)</f>
        <v/>
      </c>
      <c r="F43" s="26" t="str">
        <f aca="false">IF(B43="","",IF(INDEX(קטלוג!$F$5:$F$28,MATCH(B43,קטלוג!$C$5:$C$28,0))&gt;0,1,0))</f>
        <v/>
      </c>
      <c r="G43" s="26" t="str">
        <f aca="false">IF(B43="","",C43*INDEX(קטלוג!$G$5:$G$28,MATCH(B43,קטלוג!$C$5:$C$28,0)))</f>
        <v/>
      </c>
    </row>
    <row r="44" customFormat="false" ht="15" hidden="false" customHeight="false" outlineLevel="0" collapsed="false">
      <c r="A44" s="12"/>
      <c r="B44" s="12"/>
      <c r="C44" s="12"/>
      <c r="D44" s="25" t="str">
        <f aca="false">IF(B44="","",INDEX(קטלוג!$H$5:$H$28,MATCH(B44,קטלוג!$C$5:$C$28,0)))</f>
        <v/>
      </c>
      <c r="E44" s="25" t="str">
        <f aca="false">IF(B44="","",C44*D44)</f>
        <v/>
      </c>
      <c r="F44" s="26" t="str">
        <f aca="false">IF(B44="","",IF(INDEX(קטלוג!$F$5:$F$28,MATCH(B44,קטלוג!$C$5:$C$28,0))&gt;0,1,0))</f>
        <v/>
      </c>
      <c r="G44" s="26" t="str">
        <f aca="false">IF(B44="","",C44*INDEX(קטלוג!$G$5:$G$28,MATCH(B44,קטלוג!$C$5:$C$28,0)))</f>
        <v/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9" t="s">
        <v>145</v>
      </c>
      <c r="B46" s="17" t="n">
        <f aca="false">SUM(E5:E44)</f>
        <v>990</v>
      </c>
      <c r="C46" s="2"/>
      <c r="D46" s="2"/>
      <c r="E46" s="2"/>
      <c r="F46" s="2"/>
      <c r="G46" s="2"/>
    </row>
    <row r="47" customFormat="false" ht="15" hidden="false" customHeight="false" outlineLevel="0" collapsed="false">
      <c r="A47" s="9" t="s">
        <v>135</v>
      </c>
      <c r="B47" s="17" t="n">
        <f aca="false">'חבילה בסיסית'!$D$10</f>
        <v>3480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A48" s="9" t="s">
        <v>136</v>
      </c>
      <c r="B48" s="17" t="n">
        <f aca="false">IF(SUMPRODUCT((F5:F44=1)*1)&gt;0,הנחות!$B$7,0)</f>
        <v>400</v>
      </c>
      <c r="C48" s="2"/>
      <c r="D48" s="2"/>
      <c r="E48" s="2"/>
      <c r="F48" s="2"/>
      <c r="G48" s="2"/>
    </row>
    <row r="49" customFormat="false" ht="15" hidden="false" customHeight="false" outlineLevel="0" collapsed="false">
      <c r="A49" s="9" t="s">
        <v>137</v>
      </c>
      <c r="B49" s="19" t="n">
        <f aca="false">SUM(B46:B48)</f>
        <v>4870</v>
      </c>
      <c r="C49" s="2"/>
      <c r="D49" s="2"/>
      <c r="E49" s="2"/>
      <c r="F49" s="2"/>
      <c r="G49" s="2"/>
    </row>
    <row r="50" customFormat="false" ht="15" hidden="false" customHeight="false" outlineLevel="0" collapsed="false">
      <c r="A50" s="9" t="s">
        <v>115</v>
      </c>
      <c r="B50" s="27" t="n">
        <f aca="false">'חבילה בסיסית'!$E$10+SUM(G5:G44)</f>
        <v>6</v>
      </c>
      <c r="C50" s="2"/>
      <c r="D50" s="2"/>
      <c r="E50" s="2"/>
      <c r="F50" s="2"/>
      <c r="G50" s="2"/>
    </row>
    <row r="51" customFormat="false" ht="15" hidden="false" customHeight="false" outlineLevel="0" collapsed="false">
      <c r="A51" s="9" t="s">
        <v>121</v>
      </c>
      <c r="B51" s="19" t="n">
        <f aca="false">INDEX(ריטיינר!$C$4:$C$6,MATCH(B50,ריטיינר!$A$4:$A$6,1))</f>
        <v>160</v>
      </c>
      <c r="C51" s="2"/>
      <c r="D51" s="2"/>
      <c r="E51" s="2"/>
      <c r="F51" s="2"/>
      <c r="G51" s="2"/>
    </row>
    <row r="52" customFormat="false" ht="15" hidden="false" customHeight="false" outlineLevel="0" collapsed="false">
      <c r="A52" s="3" t="s">
        <v>146</v>
      </c>
      <c r="B52" s="2"/>
      <c r="C52" s="2"/>
      <c r="D52" s="2"/>
      <c r="E52" s="2"/>
      <c r="F52" s="2"/>
      <c r="G52" s="2"/>
    </row>
  </sheetData>
  <dataValidations count="1">
    <dataValidation allowBlank="true" errorStyle="stop" operator="between" showDropDown="false" showErrorMessage="false" showInputMessage="false" sqref="B5:B44" type="list">
      <formula1>קטלוג!$C$5:$C$28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2026-09-24T15:15:26Z</dcterms:created>
  <dc:creator>openpyxl</dc:creator>
  <dc:description/>
  <dc:language>en-US</dc:language>
  <cp:lastModifiedBy/>
  <dcterms:modified xsi:type="dcterms:W3CDTF">2026-09-24T15:15:26Z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