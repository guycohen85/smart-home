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הסבר" sheetId="1" state="visible" r:id="rId3"/>
    <sheet name="לקוחות" sheetId="2" state="visible" r:id="rId4"/>
    <sheet name="Checklist" sheetId="3" state="visible" r:id="rId5"/>
    <sheet name="שעות" sheetId="4" state="visible" r:id="rId6"/>
    <sheet name="פניות" sheetId="5" state="visible" r:id="rId7"/>
    <sheet name="חבילו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1" authorId="0">
      <text>
        <r>
          <rPr>
            <sz val="10"/>
            <rFont val="FreeSans"/>
            <family val="2"/>
          </rPr>
          <t xml:space="preserve">אחוז המקדמה נקבע בתא </t>
        </r>
        <r>
          <rPr>
            <sz val="10"/>
            <rFont val="Arial"/>
            <family val="2"/>
          </rPr>
          <t xml:space="preserve">E2 </t>
        </r>
        <r>
          <rPr>
            <sz val="10"/>
            <rFont val="FreeSans"/>
            <family val="2"/>
          </rPr>
          <t xml:space="preserve">בלשונית חבילות (הצעה: </t>
        </r>
        <r>
          <rPr>
            <sz val="10"/>
            <rFont val="Arial"/>
            <family val="2"/>
          </rPr>
          <t xml:space="preserve">50%).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1</xdr:row>
                <xdr:rowOff>28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FreeSans"/>
            <family val="2"/>
          </rPr>
          <t xml:space="preserve">לפי המדיניות המוצעת: לא מזמינים ציוד לפני שהמקדמה שולמה (בהרחבות — תשלום מלא)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1</xdr:row>
                <xdr:rowOff>28</xdr:rowOff>
              </xdr:to>
            </anchor>
          </commentPr>
        </mc:Choice>
        <mc:Fallback/>
      </mc:AlternateContent>
    </comment>
    <comment ref="AA1" authorId="0">
      <text>
        <r>
          <rPr>
            <sz val="10"/>
            <rFont val="FreeSans"/>
            <family val="2"/>
          </rPr>
          <t xml:space="preserve">מזהה כללי, מתאים לכל כלי ניטור שיוחלט עליו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למשל שם </t>
        </r>
        <r>
          <rPr>
            <sz val="10"/>
            <rFont val="Arial"/>
            <family val="2"/>
          </rPr>
          <t xml:space="preserve">environment </t>
        </r>
        <r>
          <rPr>
            <sz val="10"/>
            <rFont val="FreeSans"/>
            <family val="2"/>
          </rPr>
          <t xml:space="preserve">או מזהה של דופק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עוד לא הוחלט על הכלי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2</xdr:row>
                <xdr:rowOff>11</xdr:rowOff>
              </xdr:to>
            </anchor>
          </commentPr>
        </mc:Choice>
        <mc:Fallback/>
      </mc:AlternateContent>
    </comment>
    <comment ref="AF1" authorId="0">
      <text>
        <r>
          <rPr>
            <sz val="10"/>
            <rFont val="FreeSans"/>
            <family val="2"/>
          </rPr>
          <t xml:space="preserve">מחיר בפועל פחות עלות חומרה ופחות עלות חשמלאי. לא כולל שכר עצמי ועלויות כלים חודשיות </t>
        </r>
        <r>
          <rPr>
            <sz val="10"/>
            <rFont val="Arial"/>
            <family val="2"/>
          </rPr>
          <t xml:space="preserve">(R2, </t>
        </r>
        <r>
          <rPr>
            <sz val="10"/>
            <rFont val="FreeSans"/>
            <family val="2"/>
          </rPr>
          <t xml:space="preserve">ניטור</t>
        </r>
        <r>
          <rPr>
            <sz val="10"/>
            <rFont val="Arial"/>
            <family val="2"/>
          </rPr>
          <t xml:space="preserve">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1</xdr:row>
                <xdr:rowOff>28</xdr:rowOff>
              </xdr:to>
            </anchor>
          </commentPr>
        </mc:Choice>
        <mc:Fallback/>
      </mc:AlternateContent>
    </comment>
    <comment ref="AG1" authorId="0">
      <text>
        <r>
          <rPr>
            <sz val="10"/>
            <rFont val="FreeSans"/>
            <family val="2"/>
          </rPr>
          <t xml:space="preserve">מחושב אוטומטית מלשונית </t>
        </r>
        <r>
          <rPr>
            <sz val="10"/>
            <rFont val="Arial"/>
            <family val="2"/>
          </rPr>
          <t xml:space="preserve">Checklist. </t>
        </r>
        <r>
          <rPr>
            <sz val="10"/>
            <rFont val="FreeSans"/>
            <family val="2"/>
          </rPr>
          <t xml:space="preserve">מופיע רק ללקוחות בשורות </t>
        </r>
        <r>
          <rPr>
            <sz val="10"/>
            <rFont val="Arial"/>
            <family val="2"/>
          </rPr>
          <t xml:space="preserve">2–6.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1</xdr:row>
                <xdr:rowOff>28</xdr:rowOff>
              </xdr:to>
            </anchor>
          </commentPr>
        </mc:Choice>
        <mc:Fallback/>
      </mc:AlternateContent>
    </comment>
    <comment ref="AH1" authorId="0">
      <text>
        <r>
          <rPr>
            <sz val="10"/>
            <rFont val="FreeSans"/>
            <family val="2"/>
          </rPr>
          <t xml:space="preserve">סכום כל השעות של הלקוח בלשונית שעות, חוץ מהשלב "תמיכה (ריטיינר)" (זה נספר בעמודה נפרדת)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70</xdr:colOff>
                <xdr:row>0</xdr:row>
                <xdr:rowOff>2</xdr:rowOff>
              </xdr:from>
              <xdr:to>
                <xdr:col>1</xdr:col>
                <xdr:colOff>-237</xdr:colOff>
                <xdr:row>1</xdr:row>
                <xdr:rowOff>28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1" authorId="0">
      <text>
        <r>
          <rPr>
            <sz val="10"/>
            <rFont val="FreeSans"/>
            <family val="2"/>
          </rPr>
          <t xml:space="preserve">סוף יום העסקים ה</t>
        </r>
        <r>
          <rPr>
            <sz val="10"/>
            <rFont val="Arial"/>
            <family val="2"/>
          </rPr>
          <t xml:space="preserve">-N </t>
        </r>
        <r>
          <rPr>
            <sz val="10"/>
            <rFont val="FreeSans"/>
            <family val="2"/>
          </rPr>
          <t xml:space="preserve">אחרי הפתיחה (ימי עסקים א׳–ה׳, בלי חגים): קריטי = יום </t>
        </r>
        <r>
          <rPr>
            <sz val="10"/>
            <rFont val="Arial"/>
            <family val="2"/>
          </rPr>
          <t xml:space="preserve">1, אזהרה = 3 ימים. "בקשה" ללא SLA. </t>
        </r>
        <r>
          <rPr>
            <sz val="10"/>
            <rFont val="FreeSans"/>
            <family val="2"/>
          </rPr>
          <t xml:space="preserve">לפי </t>
        </r>
        <r>
          <rPr>
            <sz val="10"/>
            <rFont val="Arial"/>
            <family val="2"/>
          </rPr>
          <t xml:space="preserve">PRD 1, </t>
        </r>
        <r>
          <rPr>
            <sz val="10"/>
            <rFont val="FreeSans"/>
            <family val="2"/>
          </rPr>
          <t xml:space="preserve">סעיף </t>
        </r>
        <r>
          <rPr>
            <sz val="10"/>
            <rFont val="Arial"/>
            <family val="2"/>
          </rPr>
          <t xml:space="preserve">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55</xdr:colOff>
                <xdr:row>0</xdr:row>
                <xdr:rowOff>2</xdr:rowOff>
              </xdr:from>
              <xdr:to>
                <xdr:col>1</xdr:col>
                <xdr:colOff>-178</xdr:colOff>
                <xdr:row>2</xdr:row>
                <xdr:rowOff>10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2" authorId="0">
      <text>
        <r>
          <rPr>
            <sz val="10"/>
            <rFont val="FreeSans"/>
            <family val="2"/>
          </rPr>
          <t xml:space="preserve">הצעה מ-</t>
        </r>
        <r>
          <rPr>
            <sz val="10"/>
            <rFont val="Arial"/>
            <family val="2"/>
          </rPr>
          <t xml:space="preserve">20/09 (PRD 3, </t>
        </r>
        <r>
          <rPr>
            <sz val="10"/>
            <rFont val="FreeSans"/>
            <family val="2"/>
          </rPr>
          <t xml:space="preserve">שאלה </t>
        </r>
        <r>
          <rPr>
            <sz val="10"/>
            <rFont val="Arial"/>
            <family val="2"/>
          </rPr>
          <t xml:space="preserve">1): 50% בחתימה לפני הזמנת ציוד, היתרה באישור קבלה חתום. ממתין לבדיקה.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-1</xdr:col>
                <xdr:colOff>0</xdr:colOff>
                <xdr:row>0</xdr:row>
                <xdr:rowOff>2</xdr:rowOff>
              </xdr:from>
              <xdr:to>
                <xdr:col>1</xdr:col>
                <xdr:colOff>-385</xdr:colOff>
                <xdr:row>2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<sst xmlns="http://schemas.openxmlformats.org/spreadsheetml/2006/main" count="238" uniqueCount="165">
  <si>
    <t xml:space="preserve">OneHome — גיליון מעקב לקוחות (קובץ דוגמה)</t>
  </si>
  <si>
    <t xml:space="preserve">הקובץ הזה מכיל נתוני דוגמה בלבד (לקוח C001, לא אמיתי). כדי להשתמש בו: לשמור עותק במקום פרטי, למחוק את שורת הדוגמה בכל לשונית, ולהתחיל למלא.</t>
  </si>
  <si>
    <t xml:space="preserve">איך לקרוא את הצבעים</t>
  </si>
  <si>
    <t xml:space="preserve">טקסט כחול = תא שממלאים ידנית.   טקסט שחור על רקע אפור = נוסחה, לא לערוך.</t>
  </si>
  <si>
    <t xml:space="preserve">הלשוניות</t>
  </si>
  <si>
    <t xml:space="preserve">לקוחות — שורה לכל לקוח. נוסחאות מוכנות עד שורה 21. כולל מחיר בפועל, עלות חומרה וחשמלאי, רווח לשעה, שעות תמיכה ומזהה ניטור. כולל עמודות תשלום: מקדמה, אפשר להזמין ציוד, יתרה. שדות ה-IP, MAC, R2 ומזהה הניטור הם אלה ש-PRD 4 (כלי ניהול פנימי) יצטרך, כך שבהמשך אפשר לייבא אותם.</t>
  </si>
  <si>
    <t xml:space="preserve">Checklist — עמודה לכל לקוח, נמשכת אוטומטית מלשונית לקוחות (5 הלקוחות הראשונים). מבוסס על PRD 3, סעיפים B ו-D. "לא רלוונטי" לא נספר באחוז ההתקנה.</t>
  </si>
  <si>
    <t xml:space="preserve">שעות — שורה לכל שלב עבודה, כולל "נסיעות". השלב "תמיכה (ריטיינר)" נספר בנפרד, כדי לראות כמה תמיכה כל לקוח באמת צורך מול הריטיינר שלו.</t>
  </si>
  <si>
    <t xml:space="preserve">פניות — יומן פניות אחרי המסירה. חומרה לפי PRD 1: קריטי (תגובה עד יום עסקים), אזהרה (עד 3 ימי עסקים), בקשה (ללא SLA). "מידע" לא נרשם, כי גיא לא מעורב.</t>
  </si>
  <si>
    <t xml:space="preserve">חבילות — מחירי ההתקנה והריטיינר (מקור: PRD 1, 16/09/2026) וסיכום: לקוחות פעילים, הכנסה חודשית, פניות פתוחות, אירועים קריטיים מעבר ל-SLA ושעות עבודה.</t>
  </si>
  <si>
    <t xml:space="preserve">כללים חשובים</t>
  </si>
  <si>
    <t xml:space="preserve">1. אין סודות בקובץ. סיסמאות WiFi, סיסמאות אדמין של HA וסיסמת הצפנת הגיבויים — רק במנהל סיסמאות. בעמודה "הפניה לסודות" כותבים איפה הם שמורים.</t>
  </si>
  <si>
    <t xml:space="preserve">2. לא לשמור את הקובץ האמיתי ב-repo של smart-home או ב-plan-site (האתר ב-GitHub Pages עלול להיות נגיש ברשת) ולא בחשבון OneDrive של המעסיק.</t>
  </si>
  <si>
    <t xml:space="preserve">3. "רווח התקנה" = מחיר בפועל − עלות חומרה − עלות חשמלאי. "רווח לשעה" = רווח התקנה ÷ שעות התקנה (כולל נסיעות). שניהם לפני שכר עצמי ולפני עלויות כלים חודשיות (R2, ניטור).</t>
  </si>
  <si>
    <t xml:space="preserve">4. תחילת ריטיינר = תאריך אישור קבלה חתום (החלטה ב-PRD 3, סעיף B).</t>
  </si>
  <si>
    <t xml:space="preserve">5. מקדמה (הצעה מ-20/09, ממתינה לבדיקה): 50% בחתימה לפני הזמנת ציוד, 50% באישור קבלה חתום. האחוז נקבע בתא E2 בלשונית חבילות. בהרחבות — תשלום מלא לפני הזמנת חומרה.</t>
  </si>
  <si>
    <t xml:space="preserve">6. "מזהה ניטור" הוא עמודה כללית — עוד לא הוחלט איזה כלי ניטור ישמש (Sentry, דופק או אחר).</t>
  </si>
  <si>
    <t xml:space="preserve">7. בדיקת ה-SLA מניחה ימי עסקים א׳–ה׳ בלי חגים, והיעד הוא סוף יום העסקים ה-N אחרי פתיחת הפנייה. אם שישי נחשב יום עסקים, לתקן את הנוסחה בעמודה "יעד SLA".</t>
  </si>
  <si>
    <t xml:space="preserve">8. "הערות רשת" — רושמים רק חריגות ממוסכמת הסיומות (HA ב-50, Shelly ב-60 עד 79 וכו' — ראו plan-site/kb.html), למשל "50 תפוסה, ה-HA ב-51" או "הראוטר לא מאפשר reservation". אם אין חריגה, כותבים "—".</t>
  </si>
  <si>
    <t xml:space="preserve">מזהה לקוח</t>
  </si>
  <si>
    <t xml:space="preserve">שם לקוח</t>
  </si>
  <si>
    <t xml:space="preserve">טלפון</t>
  </si>
  <si>
    <t xml:space="preserve">עיר / אזור</t>
  </si>
  <si>
    <t xml:space="preserve">חבילה</t>
  </si>
  <si>
    <t xml:space="preserve">מחיר חבילה</t>
  </si>
  <si>
    <t xml:space="preserve">ריטיינר חודשי</t>
  </si>
  <si>
    <t xml:space="preserve">תוספות / הנחה (₪)</t>
  </si>
  <si>
    <t xml:space="preserve">מחיר בפועל</t>
  </si>
  <si>
    <t xml:space="preserve">מקדמה בחתימה</t>
  </si>
  <si>
    <t xml:space="preserve">תאריך שולמה מקדמה</t>
  </si>
  <si>
    <t xml:space="preserve">אפשר להזמין ציוד?</t>
  </si>
  <si>
    <t xml:space="preserve">תאריך שולמה יתרה</t>
  </si>
  <si>
    <t xml:space="preserve">יתרה לגבייה</t>
  </si>
  <si>
    <t xml:space="preserve">תאריך סקר בית</t>
  </si>
  <si>
    <t xml:space="preserve">תאריך התקנה</t>
  </si>
  <si>
    <t xml:space="preserve">תאריך אישור קבלה</t>
  </si>
  <si>
    <t xml:space="preserve">תחילת ריטיינר (= אישור קבלה)</t>
  </si>
  <si>
    <t xml:space="preserve">סטטוס</t>
  </si>
  <si>
    <t xml:space="preserve">IP קבוע</t>
  </si>
  <si>
    <t xml:space="preserve">MAC של ה-HA</t>
  </si>
  <si>
    <t xml:space="preserve">הערות רשת (חריגות IP)</t>
  </si>
  <si>
    <t xml:space="preserve">גרסת HA</t>
  </si>
  <si>
    <t xml:space="preserve">Nabu Casa</t>
  </si>
  <si>
    <t xml:space="preserve">שירותי Nabu Casa שנבחרו</t>
  </si>
  <si>
    <t xml:space="preserve">שם bucket ב-R2</t>
  </si>
  <si>
    <t xml:space="preserve">מזהה ניטור</t>
  </si>
  <si>
    <t xml:space="preserve">עבודת חשמל</t>
  </si>
  <si>
    <t xml:space="preserve">חשמלאי</t>
  </si>
  <si>
    <t xml:space="preserve">עלות חומרה (כולל מע"מ)</t>
  </si>
  <si>
    <t xml:space="preserve">עלות חשמלאי</t>
  </si>
  <si>
    <t xml:space="preserve">רווח התקנה (לפני שכר עצמי)</t>
  </si>
  <si>
    <t xml:space="preserve">התקדמות checklist</t>
  </si>
  <si>
    <t xml:space="preserve">שעות התקנה (כולל נסיעות)</t>
  </si>
  <si>
    <t xml:space="preserve">רווח התקנה לשעה</t>
  </si>
  <si>
    <t xml:space="preserve">שעות תמיכה (ריטיינר)</t>
  </si>
  <si>
    <t xml:space="preserve">פניות פתוחות</t>
  </si>
  <si>
    <t xml:space="preserve">הפניה לסודות (מנהל סיסמאות)</t>
  </si>
  <si>
    <t xml:space="preserve">הערות</t>
  </si>
  <si>
    <t xml:space="preserve">C001</t>
  </si>
  <si>
    <t xml:space="preserve">לקוח לדוגמה (לא אמיתי)</t>
  </si>
  <si>
    <t xml:space="preserve">050-0000000</t>
  </si>
  <si>
    <t xml:space="preserve">תל אביב</t>
  </si>
  <si>
    <t xml:space="preserve">SafeHome</t>
  </si>
  <si>
    <t xml:space="preserve">פעיל</t>
  </si>
  <si>
    <t xml:space="preserve">192.168.1.50</t>
  </si>
  <si>
    <t xml:space="preserve">AA:BB:CC:DD:EE:FF</t>
  </si>
  <si>
    <t xml:space="preserve">—</t>
  </si>
  <si>
    <t xml:space="preserve">2026.9.3</t>
  </si>
  <si>
    <t xml:space="preserve">לא</t>
  </si>
  <si>
    <t xml:space="preserve">onehome-c001-backups</t>
  </si>
  <si>
    <t xml:space="preserve">c001-sample</t>
  </si>
  <si>
    <t xml:space="preserve">כן</t>
  </si>
  <si>
    <t xml:space="preserve">חשמלאי א׳ (לדוגמה)</t>
  </si>
  <si>
    <t xml:space="preserve">Bitwarden: OneHome/C001 (לדוגמה)</t>
  </si>
  <si>
    <t xml:space="preserve">נתוני דוגמה בלבד — למחוק את השורה לפני שימוש אמיתי</t>
  </si>
  <si>
    <t xml:space="preserve">קבוצה</t>
  </si>
  <si>
    <t xml:space="preserve">פריט</t>
  </si>
  <si>
    <t xml:space="preserve">רשת וגישה מקומית</t>
  </si>
  <si>
    <t xml:space="preserve">AP/Client Isolation כבוי בראוטר</t>
  </si>
  <si>
    <t xml:space="preserve">✓</t>
  </si>
  <si>
    <t xml:space="preserve">רשת שטוחה אחת (או VLAN מאושר ללקוח מיוחד)</t>
  </si>
  <si>
    <t xml:space="preserve">DHCP Reservation לפי MAC בראוטר</t>
  </si>
  <si>
    <t xml:space="preserve">Internal URL מוגדר לפי ה-IP הקבוע</t>
  </si>
  <si>
    <t xml:space="preserve">אפליקציית Companion מזהה את ה-SSID הביתי</t>
  </si>
  <si>
    <t xml:space="preserve">גישת אדמין לראוטר אומתה לפני ההתקנה</t>
  </si>
  <si>
    <t xml:space="preserve">Nabu Casa (רק אם הלקוח בחר)</t>
  </si>
  <si>
    <t xml:space="preserve">הלקוח פתח חשבון בשמו ובכרטיס שלו</t>
  </si>
  <si>
    <t xml:space="preserve">לא רלוונטי</t>
  </si>
  <si>
    <t xml:space="preserve">External URL מוגדר</t>
  </si>
  <si>
    <t xml:space="preserve">שירותים נבחרו בנפרד (Alexa/Google, גיבוי ענן, Webhooks)</t>
  </si>
  <si>
    <t xml:space="preserve">TTS/STT ענני — החלטה מוצהרת (ברירת מחדל: מקומי)</t>
  </si>
  <si>
    <t xml:space="preserve">WebRTC למצלמות — החלטה מוצהרת (ברירת מחדל: כבוי)</t>
  </si>
  <si>
    <t xml:space="preserve">פרטיות וגיבויים</t>
  </si>
  <si>
    <t xml:space="preserve">מסמך פרטיות נחתם</t>
  </si>
  <si>
    <t xml:space="preserve">bucket מבודד ב-R2 נוצר</t>
  </si>
  <si>
    <t xml:space="preserve">סיסמת הצפנה ייחודית נשמרה במנהל סיסמאות</t>
  </si>
  <si>
    <t xml:space="preserve">גיבוי ראשון הצליח ל-R2</t>
  </si>
  <si>
    <t xml:space="preserve">עותק גיבוי מקומי נשמר בבית</t>
  </si>
  <si>
    <t xml:space="preserve">בדיקות קבלה — "הבית חי"</t>
  </si>
  <si>
    <t xml:space="preserve">כל מכשירי החבילה מחוברים, בשמות ברורים ופועלים</t>
  </si>
  <si>
    <t xml:space="preserve">בדיקת ניתוק אינטרנט: אוטומציה מקומית ממשיכה לרוץ</t>
  </si>
  <si>
    <t xml:space="preserve">Push בדיקה התקבל בטלפון הלקוח מחוץ ל-WiFi הביתי</t>
  </si>
  <si>
    <t xml:space="preserve">חיישן הצפה נבדק (מים על החיישן מפעילים התראה)</t>
  </si>
  <si>
    <t xml:space="preserve">גלאי עשן וסירנה מקומית נבדקו</t>
  </si>
  <si>
    <t xml:space="preserve">כניסה מרחוק מדאטה סלולרי (אם נרכשה גישה מרחוק)</t>
  </si>
  <si>
    <t xml:space="preserve">הלקוח ביצע בעצמו פעולה אחת (אור / פתיחת קריאה)</t>
  </si>
  <si>
    <t xml:space="preserve">ניטור Alert פועל</t>
  </si>
  <si>
    <t xml:space="preserve">IP, MAC וגרסת HA נרשמו בלשונית לקוחות</t>
  </si>
  <si>
    <t xml:space="preserve">חוזי ומסירה</t>
  </si>
  <si>
    <t xml:space="preserve">אישור כתוב מהחשמלאי (אם הייתה עבודת חשמל)</t>
  </si>
  <si>
    <t xml:space="preserve">חבילת מסירה נמסרה ללקוח</t>
  </si>
  <si>
    <t xml:space="preserve">אישור קבלה חתום — מתחיל ריטיינר ו-SLA</t>
  </si>
  <si>
    <t xml:space="preserve">התקדמות (לא כולל "לא רלוונטי")</t>
  </si>
  <si>
    <t xml:space="preserve">שלב</t>
  </si>
  <si>
    <t xml:space="preserve">תאריך</t>
  </si>
  <si>
    <t xml:space="preserve">שעות בפועל</t>
  </si>
  <si>
    <t xml:space="preserve">הערה</t>
  </si>
  <si>
    <t xml:space="preserve">שורה לכל שלב עבודה. הסכום לכל לקוח מוצג בלשונית לקוחות. השלב "תמיכה (ריטיינר)" נספר בנפרד משעות ההתקנה.</t>
  </si>
  <si>
    <t xml:space="preserve">פגישת מכירה</t>
  </si>
  <si>
    <t xml:space="preserve">פגישה ראשונה בבית הלקוח</t>
  </si>
  <si>
    <t xml:space="preserve">נסיעות</t>
  </si>
  <si>
    <t xml:space="preserve">סקר בית</t>
  </si>
  <si>
    <t xml:space="preserve">הצעה וחתימה</t>
  </si>
  <si>
    <t xml:space="preserve">כולל מסמך פרטיות</t>
  </si>
  <si>
    <t xml:space="preserve">הכנה אצל גיא</t>
  </si>
  <si>
    <t xml:space="preserve">HA, R2, גיבוי ראשון</t>
  </si>
  <si>
    <t xml:space="preserve">התקנה ורשת</t>
  </si>
  <si>
    <t xml:space="preserve">בדיקות קבלה</t>
  </si>
  <si>
    <t xml:space="preserve">מסירה והדרכה</t>
  </si>
  <si>
    <t xml:space="preserve">תמיכה (ריטיינר)</t>
  </si>
  <si>
    <t xml:space="preserve">פנייה P001</t>
  </si>
  <si>
    <t xml:space="preserve">פנייה P002</t>
  </si>
  <si>
    <t xml:space="preserve">מזהה פנייה</t>
  </si>
  <si>
    <t xml:space="preserve">תאריך פתיחה</t>
  </si>
  <si>
    <t xml:space="preserve">נושא</t>
  </si>
  <si>
    <t xml:space="preserve">חומרה</t>
  </si>
  <si>
    <t xml:space="preserve">תגובה ראשונה</t>
  </si>
  <si>
    <t xml:space="preserve">תאריך פתרון</t>
  </si>
  <si>
    <t xml:space="preserve">זמן פתרון (שעות)</t>
  </si>
  <si>
    <t xml:space="preserve">יעד SLA לתגובה</t>
  </si>
  <si>
    <t xml:space="preserve">עמד ב-SLA?</t>
  </si>
  <si>
    <t xml:space="preserve">P001</t>
  </si>
  <si>
    <t xml:space="preserve">התראת הצפה לא הגיעה לטלפון של בת הזוג</t>
  </si>
  <si>
    <t xml:space="preserve">קריטי</t>
  </si>
  <si>
    <t xml:space="preserve">סגורה</t>
  </si>
  <si>
    <t xml:space="preserve">נתוני דוגמה — הוגדרה מחדש הרשאת התראות באפליקציה</t>
  </si>
  <si>
    <t xml:space="preserve">P002</t>
  </si>
  <si>
    <t xml:space="preserve">שאלה על הוספת מנורה לדשבורד</t>
  </si>
  <si>
    <t xml:space="preserve">בקשה</t>
  </si>
  <si>
    <t xml:space="preserve">פתוחה</t>
  </si>
  <si>
    <t xml:space="preserve">נתוני דוגמה</t>
  </si>
  <si>
    <t xml:space="preserve">מחיר התקנה (₪)</t>
  </si>
  <si>
    <t xml:space="preserve">ריטיינר חודשי (₪)</t>
  </si>
  <si>
    <t xml:space="preserve">אחוז מקדמה בחתימה</t>
  </si>
  <si>
    <t xml:space="preserve">EcoHome</t>
  </si>
  <si>
    <t xml:space="preserve">EliteHome</t>
  </si>
  <si>
    <t xml:space="preserve">מקור המחירים: PRD 1 / תמחור מעודכן ב-16/09/2026. אם התמחור משתנה — לעדכן כאן בלבד (תאים כחולים).</t>
  </si>
  <si>
    <t xml:space="preserve">סיכום</t>
  </si>
  <si>
    <t xml:space="preserve">לקוחות פעילים</t>
  </si>
  <si>
    <t xml:space="preserve">הכנסה חודשית מריטיינר (MRR)</t>
  </si>
  <si>
    <t xml:space="preserve">סה"כ פניות פתוחות</t>
  </si>
  <si>
    <t xml:space="preserve">אירועים קריטיים מעבר ל-SLA (יעד: 0)</t>
  </si>
  <si>
    <t xml:space="preserve">סה"כ שעות התקנה (ללא תמיכה)</t>
  </si>
  <si>
    <t xml:space="preserve">סה"כ יתרה לגבייה</t>
  </si>
  <si>
    <t xml:space="preserve">סה"כ שעות תמיכה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</si>
</sst>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₪&quot;"/>
    <numFmt numFmtId="166" formatCode="dd/mm/yyyy"/>
    <numFmt numFmtId="167" formatCode="#,##0&quot; ₪&quot;;[RED]\-#,##0&quot; ₪&quot;"/>
    <numFmt numFmtId="168" formatCode="0%"/>
    <numFmt numFmtId="169" formatCode="0.0"/>
    <numFmt numFmtId="170" formatCode="dd/mm/yyyy\ hh:mm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9"/>
      <color rgb="FF64748B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5E7EB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E5E7EB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35.0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23.85" hidden="false" customHeight="false" outlineLevel="0" collapsed="false">
      <c r="A21" s="2" t="s">
        <v>17</v>
      </c>
    </row>
    <row r="22" customFormat="false" ht="23.8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0" min="19" style="0" width="14"/>
    <col collapsed="false" customWidth="true" hidden="false" outlineLevel="0" max="21" min="21" style="0" width="20"/>
    <col collapsed="false" customWidth="true" hidden="false" outlineLevel="0" max="22" min="22" style="0" width="30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6" min="25" style="0" width="24"/>
    <col collapsed="false" customWidth="true" hidden="false" outlineLevel="0" max="27" min="27" style="0" width="18"/>
    <col collapsed="false" customWidth="true" hidden="false" outlineLevel="0" max="28" min="28" style="0" width="11"/>
    <col collapsed="false" customWidth="true" hidden="false" outlineLevel="0" max="29" min="29" style="0" width="16"/>
    <col collapsed="false" customWidth="true" hidden="false" outlineLevel="0" max="30" min="30" style="0" width="14"/>
    <col collapsed="false" customWidth="true" hidden="false" outlineLevel="0" max="31" min="31" style="0" width="12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4" min="34" style="0" width="14"/>
    <col collapsed="false" customWidth="true" hidden="false" outlineLevel="0" max="36" min="35" style="0" width="13"/>
    <col collapsed="false" customWidth="true" hidden="false" outlineLevel="0" max="37" min="37" style="0" width="10"/>
    <col collapsed="false" customWidth="true" hidden="false" outlineLevel="0" max="39" min="38" style="0" width="30"/>
  </cols>
  <sheetData>
    <row r="1" customFormat="false" ht="39.7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</row>
    <row r="2" customFormat="false" ht="23.85" hidden="false" customHeight="false" outlineLevel="0" collapsed="false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6" t="n">
        <f aca="false">IF($E2="","",IFERROR(INDEX(חבילות!$B$2:$B$4,MATCH($E2,חבילות!$A$2:$A$4,0)),""))</f>
        <v>8700</v>
      </c>
      <c r="G2" s="6" t="n">
        <f aca="false">IF($E2="","",IFERROR(INDEX(חבילות!$C$2:$C$4,MATCH($E2,חבילות!$A$2:$A$4,0)),""))</f>
        <v>220</v>
      </c>
      <c r="H2" s="7" t="n">
        <v>0</v>
      </c>
      <c r="I2" s="6" t="n">
        <f aca="false">IF(OR($A2="",$F2=""),"",$F2+N($H2))</f>
        <v>8700</v>
      </c>
      <c r="J2" s="6" t="n">
        <f aca="false">IF($I2="","",ROUND($I2*חבילות!$E$2,0))</f>
        <v>4350</v>
      </c>
      <c r="K2" s="8" t="n">
        <v>46303</v>
      </c>
      <c r="L2" s="9" t="str">
        <f aca="false">IF($A2="","",IF($K2="","לא — מקדמה טרם שולמה","כן"))</f>
        <v>כן</v>
      </c>
      <c r="M2" s="8" t="n">
        <v>46314</v>
      </c>
      <c r="N2" s="6" t="n">
        <f aca="false">IF($I2="","",$I2-IF($K2="",0,$J2)-IF($M2="",0,$I2-$J2))</f>
        <v>0</v>
      </c>
      <c r="O2" s="8" t="n">
        <v>46300</v>
      </c>
      <c r="P2" s="8" t="n">
        <v>46314</v>
      </c>
      <c r="Q2" s="8" t="n">
        <v>46314</v>
      </c>
      <c r="R2" s="10" t="n">
        <f aca="false">IF($Q2="","",$Q2)</f>
        <v>46314</v>
      </c>
      <c r="S2" s="5" t="s">
        <v>63</v>
      </c>
      <c r="T2" s="5" t="s">
        <v>64</v>
      </c>
      <c r="U2" s="5" t="s">
        <v>65</v>
      </c>
      <c r="V2" s="5" t="s">
        <v>66</v>
      </c>
      <c r="W2" s="5" t="s">
        <v>67</v>
      </c>
      <c r="X2" s="5" t="s">
        <v>68</v>
      </c>
      <c r="Y2" s="5" t="s">
        <v>66</v>
      </c>
      <c r="Z2" s="5" t="s">
        <v>69</v>
      </c>
      <c r="AA2" s="5" t="s">
        <v>70</v>
      </c>
      <c r="AB2" s="5" t="s">
        <v>71</v>
      </c>
      <c r="AC2" s="5" t="s">
        <v>72</v>
      </c>
      <c r="AD2" s="7" t="n">
        <v>4200</v>
      </c>
      <c r="AE2" s="7" t="n">
        <v>800</v>
      </c>
      <c r="AF2" s="11" t="n">
        <f aca="false">IF(OR($A2="",$I2="",$AD2=""),"",$I2-$AD2-N($AE2))</f>
        <v>3700</v>
      </c>
      <c r="AG2" s="12" t="n">
        <f aca="false">IF($A2="","",IFERROR(INDEX(Checklist!$C$30:$G$30,MATCH($A2,Checklist!$C$1:$G$1,0)),""))</f>
        <v>1</v>
      </c>
      <c r="AH2" s="13" t="n">
        <f aca="false">IF($A2="","",SUMIFS(שעות!$D$2:$D$500,שעות!$A$2:$A$500,$A2)-SUMIFS(שעות!$D$2:$D$500,שעות!$A$2:$A$500,$A2,שעות!$B$2:$B$500,"תמיכה (ריטיינר)"))</f>
        <v>18.5</v>
      </c>
      <c r="AI2" s="11" t="n">
        <f aca="false">IF($A2="","",IFERROR($AF2/$AH2,""))</f>
        <v>200</v>
      </c>
      <c r="AJ2" s="13" t="n">
        <f aca="false">IF($A2="","",SUMIFS(שעות!$D$2:$D$500,שעות!$A$2:$A$500,$A2,שעות!$B$2:$B$500,"תמיכה (ריטיינר)"))</f>
        <v>1.5</v>
      </c>
      <c r="AK2" s="9" t="n">
        <f aca="false">IF($A2="","",COUNTIFS(פניות!$B$2:$B$500,$A2,פניות!$F$2:$F$500,"פתוחה"))</f>
        <v>1</v>
      </c>
      <c r="AL2" s="5" t="s">
        <v>73</v>
      </c>
      <c r="AM2" s="5" t="s">
        <v>74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6" t="str">
        <f aca="false">IF($E3="","",IFERROR(INDEX(חבילות!$B$2:$B$4,MATCH($E3,חבילות!$A$2:$A$4,0)),""))</f>
        <v/>
      </c>
      <c r="G3" s="6" t="str">
        <f aca="false">IF($E3="","",IFERROR(INDEX(חבילות!$C$2:$C$4,MATCH($E3,חבילות!$A$2:$A$4,0)),""))</f>
        <v/>
      </c>
      <c r="H3" s="7"/>
      <c r="I3" s="6" t="str">
        <f aca="false">IF(OR($A3="",$F3=""),"",$F3+N($H3))</f>
        <v/>
      </c>
      <c r="J3" s="6" t="str">
        <f aca="false">IF($I3="","",ROUND($I3*חבילות!$E$2,0))</f>
        <v/>
      </c>
      <c r="K3" s="8"/>
      <c r="L3" s="9" t="str">
        <f aca="false">IF($A3="","",IF($K3="","לא — מקדמה טרם שולמה","כן"))</f>
        <v/>
      </c>
      <c r="M3" s="8"/>
      <c r="N3" s="6" t="str">
        <f aca="false">IF($I3="","",$I3-IF($K3="",0,$J3)-IF($M3="",0,$I3-$J3))</f>
        <v/>
      </c>
      <c r="O3" s="8"/>
      <c r="P3" s="8"/>
      <c r="Q3" s="8"/>
      <c r="R3" s="10" t="str">
        <f aca="false">IF($Q3="","",$Q3)</f>
        <v/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"/>
      <c r="AE3" s="7"/>
      <c r="AF3" s="11" t="str">
        <f aca="false">IF(OR($A3="",$I3="",$AD3=""),"",$I3-$AD3-N($AE3))</f>
        <v/>
      </c>
      <c r="AG3" s="12" t="str">
        <f aca="false">IF($A3="","",IFERROR(INDEX(Checklist!$C$30:$G$30,MATCH($A3,Checklist!$C$1:$G$1,0)),""))</f>
        <v/>
      </c>
      <c r="AH3" s="13" t="str">
        <f aca="false">IF($A3="","",SUMIFS(שעות!$D$2:$D$500,שעות!$A$2:$A$500,$A3)-SUMIFS(שעות!$D$2:$D$500,שעות!$A$2:$A$500,$A3,שעות!$B$2:$B$500,"תמיכה (ריטיינר)"))</f>
        <v/>
      </c>
      <c r="AI3" s="11" t="str">
        <f aca="false">IF($A3="","",IFERROR($AF3/$AH3,""))</f>
        <v/>
      </c>
      <c r="AJ3" s="13" t="str">
        <f aca="false">IF($A3="","",SUMIFS(שעות!$D$2:$D$500,שעות!$A$2:$A$500,$A3,שעות!$B$2:$B$500,"תמיכה (ריטיינר)"))</f>
        <v/>
      </c>
      <c r="AK3" s="9" t="str">
        <f aca="false">IF($A3="","",COUNTIFS(פניות!$B$2:$B$500,$A3,פניות!$F$2:$F$500,"פתוחה"))</f>
        <v/>
      </c>
      <c r="AL3" s="5"/>
      <c r="AM3" s="5"/>
    </row>
    <row r="4" customFormat="false" ht="15" hidden="false" customHeight="false" outlineLevel="0" collapsed="false">
      <c r="A4" s="5"/>
      <c r="B4" s="5"/>
      <c r="C4" s="5"/>
      <c r="D4" s="5"/>
      <c r="E4" s="5"/>
      <c r="F4" s="6" t="str">
        <f aca="false">IF($E4="","",IFERROR(INDEX(חבילות!$B$2:$B$4,MATCH($E4,חבילות!$A$2:$A$4,0)),""))</f>
        <v/>
      </c>
      <c r="G4" s="6" t="str">
        <f aca="false">IF($E4="","",IFERROR(INDEX(חבילות!$C$2:$C$4,MATCH($E4,חבילות!$A$2:$A$4,0)),""))</f>
        <v/>
      </c>
      <c r="H4" s="7"/>
      <c r="I4" s="6" t="str">
        <f aca="false">IF(OR($A4="",$F4=""),"",$F4+N($H4))</f>
        <v/>
      </c>
      <c r="J4" s="6" t="str">
        <f aca="false">IF($I4="","",ROUND($I4*חבילות!$E$2,0))</f>
        <v/>
      </c>
      <c r="K4" s="8"/>
      <c r="L4" s="9" t="str">
        <f aca="false">IF($A4="","",IF($K4="","לא — מקדמה טרם שולמה","כן"))</f>
        <v/>
      </c>
      <c r="M4" s="8"/>
      <c r="N4" s="6" t="str">
        <f aca="false">IF($I4="","",$I4-IF($K4="",0,$J4)-IF($M4="",0,$I4-$J4))</f>
        <v/>
      </c>
      <c r="O4" s="8"/>
      <c r="P4" s="8"/>
      <c r="Q4" s="8"/>
      <c r="R4" s="10" t="str">
        <f aca="false">IF($Q4="","",$Q4)</f>
        <v/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7"/>
      <c r="AE4" s="7"/>
      <c r="AF4" s="11" t="str">
        <f aca="false">IF(OR($A4="",$I4="",$AD4=""),"",$I4-$AD4-N($AE4))</f>
        <v/>
      </c>
      <c r="AG4" s="12" t="str">
        <f aca="false">IF($A4="","",IFERROR(INDEX(Checklist!$C$30:$G$30,MATCH($A4,Checklist!$C$1:$G$1,0)),""))</f>
        <v/>
      </c>
      <c r="AH4" s="13" t="str">
        <f aca="false">IF($A4="","",SUMIFS(שעות!$D$2:$D$500,שעות!$A$2:$A$500,$A4)-SUMIFS(שעות!$D$2:$D$500,שעות!$A$2:$A$500,$A4,שעות!$B$2:$B$500,"תמיכה (ריטיינר)"))</f>
        <v/>
      </c>
      <c r="AI4" s="11" t="str">
        <f aca="false">IF($A4="","",IFERROR($AF4/$AH4,""))</f>
        <v/>
      </c>
      <c r="AJ4" s="13" t="str">
        <f aca="false">IF($A4="","",SUMIFS(שעות!$D$2:$D$500,שעות!$A$2:$A$500,$A4,שעות!$B$2:$B$500,"תמיכה (ריטיינר)"))</f>
        <v/>
      </c>
      <c r="AK4" s="9" t="str">
        <f aca="false">IF($A4="","",COUNTIFS(פניות!$B$2:$B$500,$A4,פניות!$F$2:$F$500,"פתוחה"))</f>
        <v/>
      </c>
      <c r="AL4" s="5"/>
      <c r="AM4" s="5"/>
    </row>
    <row r="5" customFormat="false" ht="15" hidden="false" customHeight="false" outlineLevel="0" collapsed="false">
      <c r="A5" s="5"/>
      <c r="B5" s="5"/>
      <c r="C5" s="5"/>
      <c r="D5" s="5"/>
      <c r="E5" s="5"/>
      <c r="F5" s="6" t="str">
        <f aca="false">IF($E5="","",IFERROR(INDEX(חבילות!$B$2:$B$4,MATCH($E5,חבילות!$A$2:$A$4,0)),""))</f>
        <v/>
      </c>
      <c r="G5" s="6" t="str">
        <f aca="false">IF($E5="","",IFERROR(INDEX(חבילות!$C$2:$C$4,MATCH($E5,חבילות!$A$2:$A$4,0)),""))</f>
        <v/>
      </c>
      <c r="H5" s="7"/>
      <c r="I5" s="6" t="str">
        <f aca="false">IF(OR($A5="",$F5=""),"",$F5+N($H5))</f>
        <v/>
      </c>
      <c r="J5" s="6" t="str">
        <f aca="false">IF($I5="","",ROUND($I5*חבילות!$E$2,0))</f>
        <v/>
      </c>
      <c r="K5" s="8"/>
      <c r="L5" s="9" t="str">
        <f aca="false">IF($A5="","",IF($K5="","לא — מקדמה טרם שולמה","כן"))</f>
        <v/>
      </c>
      <c r="M5" s="8"/>
      <c r="N5" s="6" t="str">
        <f aca="false">IF($I5="","",$I5-IF($K5="",0,$J5)-IF($M5="",0,$I5-$J5))</f>
        <v/>
      </c>
      <c r="O5" s="8"/>
      <c r="P5" s="8"/>
      <c r="Q5" s="8"/>
      <c r="R5" s="10" t="str">
        <f aca="false">IF($Q5="","",$Q5)</f>
        <v/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7"/>
      <c r="AE5" s="7"/>
      <c r="AF5" s="11" t="str">
        <f aca="false">IF(OR($A5="",$I5="",$AD5=""),"",$I5-$AD5-N($AE5))</f>
        <v/>
      </c>
      <c r="AG5" s="12" t="str">
        <f aca="false">IF($A5="","",IFERROR(INDEX(Checklist!$C$30:$G$30,MATCH($A5,Checklist!$C$1:$G$1,0)),""))</f>
        <v/>
      </c>
      <c r="AH5" s="13" t="str">
        <f aca="false">IF($A5="","",SUMIFS(שעות!$D$2:$D$500,שעות!$A$2:$A$500,$A5)-SUMIFS(שעות!$D$2:$D$500,שעות!$A$2:$A$500,$A5,שעות!$B$2:$B$500,"תמיכה (ריטיינר)"))</f>
        <v/>
      </c>
      <c r="AI5" s="11" t="str">
        <f aca="false">IF($A5="","",IFERROR($AF5/$AH5,""))</f>
        <v/>
      </c>
      <c r="AJ5" s="13" t="str">
        <f aca="false">IF($A5="","",SUMIFS(שעות!$D$2:$D$500,שעות!$A$2:$A$500,$A5,שעות!$B$2:$B$500,"תמיכה (ריטיינר)"))</f>
        <v/>
      </c>
      <c r="AK5" s="9" t="str">
        <f aca="false">IF($A5="","",COUNTIFS(פניות!$B$2:$B$500,$A5,פניות!$F$2:$F$500,"פתוחה"))</f>
        <v/>
      </c>
      <c r="AL5" s="5"/>
      <c r="AM5" s="5"/>
    </row>
    <row r="6" customFormat="false" ht="15" hidden="false" customHeight="false" outlineLevel="0" collapsed="false">
      <c r="A6" s="5"/>
      <c r="B6" s="5"/>
      <c r="C6" s="5"/>
      <c r="D6" s="5"/>
      <c r="E6" s="5"/>
      <c r="F6" s="6" t="str">
        <f aca="false">IF($E6="","",IFERROR(INDEX(חבילות!$B$2:$B$4,MATCH($E6,חבילות!$A$2:$A$4,0)),""))</f>
        <v/>
      </c>
      <c r="G6" s="6" t="str">
        <f aca="false">IF($E6="","",IFERROR(INDEX(חבילות!$C$2:$C$4,MATCH($E6,חבילות!$A$2:$A$4,0)),""))</f>
        <v/>
      </c>
      <c r="H6" s="7"/>
      <c r="I6" s="6" t="str">
        <f aca="false">IF(OR($A6="",$F6=""),"",$F6+N($H6))</f>
        <v/>
      </c>
      <c r="J6" s="6" t="str">
        <f aca="false">IF($I6="","",ROUND($I6*חבילות!$E$2,0))</f>
        <v/>
      </c>
      <c r="K6" s="8"/>
      <c r="L6" s="9" t="str">
        <f aca="false">IF($A6="","",IF($K6="","לא — מקדמה טרם שולמה","כן"))</f>
        <v/>
      </c>
      <c r="M6" s="8"/>
      <c r="N6" s="6" t="str">
        <f aca="false">IF($I6="","",$I6-IF($K6="",0,$J6)-IF($M6="",0,$I6-$J6))</f>
        <v/>
      </c>
      <c r="O6" s="8"/>
      <c r="P6" s="8"/>
      <c r="Q6" s="8"/>
      <c r="R6" s="10" t="str">
        <f aca="false">IF($Q6="","",$Q6)</f>
        <v/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7"/>
      <c r="AE6" s="7"/>
      <c r="AF6" s="11" t="str">
        <f aca="false">IF(OR($A6="",$I6="",$AD6=""),"",$I6-$AD6-N($AE6))</f>
        <v/>
      </c>
      <c r="AG6" s="12" t="str">
        <f aca="false">IF($A6="","",IFERROR(INDEX(Checklist!$C$30:$G$30,MATCH($A6,Checklist!$C$1:$G$1,0)),""))</f>
        <v/>
      </c>
      <c r="AH6" s="13" t="str">
        <f aca="false">IF($A6="","",SUMIFS(שעות!$D$2:$D$500,שעות!$A$2:$A$500,$A6)-SUMIFS(שעות!$D$2:$D$500,שעות!$A$2:$A$500,$A6,שעות!$B$2:$B$500,"תמיכה (ריטיינר)"))</f>
        <v/>
      </c>
      <c r="AI6" s="11" t="str">
        <f aca="false">IF($A6="","",IFERROR($AF6/$AH6,""))</f>
        <v/>
      </c>
      <c r="AJ6" s="13" t="str">
        <f aca="false">IF($A6="","",SUMIFS(שעות!$D$2:$D$500,שעות!$A$2:$A$500,$A6,שעות!$B$2:$B$500,"תמיכה (ריטיינר)"))</f>
        <v/>
      </c>
      <c r="AK6" s="9" t="str">
        <f aca="false">IF($A6="","",COUNTIFS(פניות!$B$2:$B$500,$A6,פניות!$F$2:$F$500,"פתוחה"))</f>
        <v/>
      </c>
      <c r="AL6" s="5"/>
      <c r="AM6" s="5"/>
    </row>
    <row r="7" customFormat="false" ht="15" hidden="false" customHeight="false" outlineLevel="0" collapsed="false">
      <c r="A7" s="5"/>
      <c r="B7" s="5"/>
      <c r="C7" s="5"/>
      <c r="D7" s="5"/>
      <c r="E7" s="5"/>
      <c r="F7" s="6" t="str">
        <f aca="false">IF($E7="","",IFERROR(INDEX(חבילות!$B$2:$B$4,MATCH($E7,חבילות!$A$2:$A$4,0)),""))</f>
        <v/>
      </c>
      <c r="G7" s="6" t="str">
        <f aca="false">IF($E7="","",IFERROR(INDEX(חבילות!$C$2:$C$4,MATCH($E7,חבילות!$A$2:$A$4,0)),""))</f>
        <v/>
      </c>
      <c r="H7" s="7"/>
      <c r="I7" s="6" t="str">
        <f aca="false">IF(OR($A7="",$F7=""),"",$F7+N($H7))</f>
        <v/>
      </c>
      <c r="J7" s="6" t="str">
        <f aca="false">IF($I7="","",ROUND($I7*חבילות!$E$2,0))</f>
        <v/>
      </c>
      <c r="K7" s="8"/>
      <c r="L7" s="9" t="str">
        <f aca="false">IF($A7="","",IF($K7="","לא — מקדמה טרם שולמה","כן"))</f>
        <v/>
      </c>
      <c r="M7" s="8"/>
      <c r="N7" s="6" t="str">
        <f aca="false">IF($I7="","",$I7-IF($K7="",0,$J7)-IF($M7="",0,$I7-$J7))</f>
        <v/>
      </c>
      <c r="O7" s="8"/>
      <c r="P7" s="8"/>
      <c r="Q7" s="8"/>
      <c r="R7" s="10" t="str">
        <f aca="false">IF($Q7="","",$Q7)</f>
        <v/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7"/>
      <c r="AE7" s="7"/>
      <c r="AF7" s="11" t="str">
        <f aca="false">IF(OR($A7="",$I7="",$AD7=""),"",$I7-$AD7-N($AE7))</f>
        <v/>
      </c>
      <c r="AG7" s="12" t="str">
        <f aca="false">IF($A7="","",IFERROR(INDEX(Checklist!$C$30:$G$30,MATCH($A7,Checklist!$C$1:$G$1,0)),""))</f>
        <v/>
      </c>
      <c r="AH7" s="13" t="str">
        <f aca="false">IF($A7="","",SUMIFS(שעות!$D$2:$D$500,שעות!$A$2:$A$500,$A7)-SUMIFS(שעות!$D$2:$D$500,שעות!$A$2:$A$500,$A7,שעות!$B$2:$B$500,"תמיכה (ריטיינר)"))</f>
        <v/>
      </c>
      <c r="AI7" s="11" t="str">
        <f aca="false">IF($A7="","",IFERROR($AF7/$AH7,""))</f>
        <v/>
      </c>
      <c r="AJ7" s="13" t="str">
        <f aca="false">IF($A7="","",SUMIFS(שעות!$D$2:$D$500,שעות!$A$2:$A$500,$A7,שעות!$B$2:$B$500,"תמיכה (ריטיינר)"))</f>
        <v/>
      </c>
      <c r="AK7" s="9" t="str">
        <f aca="false">IF($A7="","",COUNTIFS(פניות!$B$2:$B$500,$A7,פניות!$F$2:$F$500,"פתוחה"))</f>
        <v/>
      </c>
      <c r="AL7" s="5"/>
      <c r="AM7" s="5"/>
    </row>
    <row r="8" customFormat="false" ht="15" hidden="false" customHeight="false" outlineLevel="0" collapsed="false">
      <c r="A8" s="5"/>
      <c r="B8" s="5"/>
      <c r="C8" s="5"/>
      <c r="D8" s="5"/>
      <c r="E8" s="5"/>
      <c r="F8" s="6" t="str">
        <f aca="false">IF($E8="","",IFERROR(INDEX(חבילות!$B$2:$B$4,MATCH($E8,חבילות!$A$2:$A$4,0)),""))</f>
        <v/>
      </c>
      <c r="G8" s="6" t="str">
        <f aca="false">IF($E8="","",IFERROR(INDEX(חבילות!$C$2:$C$4,MATCH($E8,חבילות!$A$2:$A$4,0)),""))</f>
        <v/>
      </c>
      <c r="H8" s="7"/>
      <c r="I8" s="6" t="str">
        <f aca="false">IF(OR($A8="",$F8=""),"",$F8+N($H8))</f>
        <v/>
      </c>
      <c r="J8" s="6" t="str">
        <f aca="false">IF($I8="","",ROUND($I8*חבילות!$E$2,0))</f>
        <v/>
      </c>
      <c r="K8" s="8"/>
      <c r="L8" s="9" t="str">
        <f aca="false">IF($A8="","",IF($K8="","לא — מקדמה טרם שולמה","כן"))</f>
        <v/>
      </c>
      <c r="M8" s="8"/>
      <c r="N8" s="6" t="str">
        <f aca="false">IF($I8="","",$I8-IF($K8="",0,$J8)-IF($M8="",0,$I8-$J8))</f>
        <v/>
      </c>
      <c r="O8" s="8"/>
      <c r="P8" s="8"/>
      <c r="Q8" s="8"/>
      <c r="R8" s="10" t="str">
        <f aca="false">IF($Q8="","",$Q8)</f>
        <v/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7"/>
      <c r="AE8" s="7"/>
      <c r="AF8" s="11" t="str">
        <f aca="false">IF(OR($A8="",$I8="",$AD8=""),"",$I8-$AD8-N($AE8))</f>
        <v/>
      </c>
      <c r="AG8" s="12" t="str">
        <f aca="false">IF($A8="","",IFERROR(INDEX(Checklist!$C$30:$G$30,MATCH($A8,Checklist!$C$1:$G$1,0)),""))</f>
        <v/>
      </c>
      <c r="AH8" s="13" t="str">
        <f aca="false">IF($A8="","",SUMIFS(שעות!$D$2:$D$500,שעות!$A$2:$A$500,$A8)-SUMIFS(שעות!$D$2:$D$500,שעות!$A$2:$A$500,$A8,שעות!$B$2:$B$500,"תמיכה (ריטיינר)"))</f>
        <v/>
      </c>
      <c r="AI8" s="11" t="str">
        <f aca="false">IF($A8="","",IFERROR($AF8/$AH8,""))</f>
        <v/>
      </c>
      <c r="AJ8" s="13" t="str">
        <f aca="false">IF($A8="","",SUMIFS(שעות!$D$2:$D$500,שעות!$A$2:$A$500,$A8,שעות!$B$2:$B$500,"תמיכה (ריטיינר)"))</f>
        <v/>
      </c>
      <c r="AK8" s="9" t="str">
        <f aca="false">IF($A8="","",COUNTIFS(פניות!$B$2:$B$500,$A8,פניות!$F$2:$F$500,"פתוחה"))</f>
        <v/>
      </c>
      <c r="AL8" s="5"/>
      <c r="AM8" s="5"/>
    </row>
    <row r="9" customFormat="false" ht="15" hidden="false" customHeight="false" outlineLevel="0" collapsed="false">
      <c r="A9" s="5"/>
      <c r="B9" s="5"/>
      <c r="C9" s="5"/>
      <c r="D9" s="5"/>
      <c r="E9" s="5"/>
      <c r="F9" s="6" t="str">
        <f aca="false">IF($E9="","",IFERROR(INDEX(חבילות!$B$2:$B$4,MATCH($E9,חבילות!$A$2:$A$4,0)),""))</f>
        <v/>
      </c>
      <c r="G9" s="6" t="str">
        <f aca="false">IF($E9="","",IFERROR(INDEX(חבילות!$C$2:$C$4,MATCH($E9,חבילות!$A$2:$A$4,0)),""))</f>
        <v/>
      </c>
      <c r="H9" s="7"/>
      <c r="I9" s="6" t="str">
        <f aca="false">IF(OR($A9="",$F9=""),"",$F9+N($H9))</f>
        <v/>
      </c>
      <c r="J9" s="6" t="str">
        <f aca="false">IF($I9="","",ROUND($I9*חבילות!$E$2,0))</f>
        <v/>
      </c>
      <c r="K9" s="8"/>
      <c r="L9" s="9" t="str">
        <f aca="false">IF($A9="","",IF($K9="","לא — מקדמה טרם שולמה","כן"))</f>
        <v/>
      </c>
      <c r="M9" s="8"/>
      <c r="N9" s="6" t="str">
        <f aca="false">IF($I9="","",$I9-IF($K9="",0,$J9)-IF($M9="",0,$I9-$J9))</f>
        <v/>
      </c>
      <c r="O9" s="8"/>
      <c r="P9" s="8"/>
      <c r="Q9" s="8"/>
      <c r="R9" s="10" t="str">
        <f aca="false">IF($Q9="","",$Q9)</f>
        <v/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7"/>
      <c r="AE9" s="7"/>
      <c r="AF9" s="11" t="str">
        <f aca="false">IF(OR($A9="",$I9="",$AD9=""),"",$I9-$AD9-N($AE9))</f>
        <v/>
      </c>
      <c r="AG9" s="12" t="str">
        <f aca="false">IF($A9="","",IFERROR(INDEX(Checklist!$C$30:$G$30,MATCH($A9,Checklist!$C$1:$G$1,0)),""))</f>
        <v/>
      </c>
      <c r="AH9" s="13" t="str">
        <f aca="false">IF($A9="","",SUMIFS(שעות!$D$2:$D$500,שעות!$A$2:$A$500,$A9)-SUMIFS(שעות!$D$2:$D$500,שעות!$A$2:$A$500,$A9,שעות!$B$2:$B$500,"תמיכה (ריטיינר)"))</f>
        <v/>
      </c>
      <c r="AI9" s="11" t="str">
        <f aca="false">IF($A9="","",IFERROR($AF9/$AH9,""))</f>
        <v/>
      </c>
      <c r="AJ9" s="13" t="str">
        <f aca="false">IF($A9="","",SUMIFS(שעות!$D$2:$D$500,שעות!$A$2:$A$500,$A9,שעות!$B$2:$B$500,"תמיכה (ריטיינר)"))</f>
        <v/>
      </c>
      <c r="AK9" s="9" t="str">
        <f aca="false">IF($A9="","",COUNTIFS(פניות!$B$2:$B$500,$A9,פניות!$F$2:$F$500,"פתוחה"))</f>
        <v/>
      </c>
      <c r="AL9" s="5"/>
      <c r="AM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6" t="str">
        <f aca="false">IF($E10="","",IFERROR(INDEX(חבילות!$B$2:$B$4,MATCH($E10,חבילות!$A$2:$A$4,0)),""))</f>
        <v/>
      </c>
      <c r="G10" s="6" t="str">
        <f aca="false">IF($E10="","",IFERROR(INDEX(חבילות!$C$2:$C$4,MATCH($E10,חבילות!$A$2:$A$4,0)),""))</f>
        <v/>
      </c>
      <c r="H10" s="7"/>
      <c r="I10" s="6" t="str">
        <f aca="false">IF(OR($A10="",$F10=""),"",$F10+N($H10))</f>
        <v/>
      </c>
      <c r="J10" s="6" t="str">
        <f aca="false">IF($I10="","",ROUND($I10*חבילות!$E$2,0))</f>
        <v/>
      </c>
      <c r="K10" s="8"/>
      <c r="L10" s="9" t="str">
        <f aca="false">IF($A10="","",IF($K10="","לא — מקדמה טרם שולמה","כן"))</f>
        <v/>
      </c>
      <c r="M10" s="8"/>
      <c r="N10" s="6" t="str">
        <f aca="false">IF($I10="","",$I10-IF($K10="",0,$J10)-IF($M10="",0,$I10-$J10))</f>
        <v/>
      </c>
      <c r="O10" s="8"/>
      <c r="P10" s="8"/>
      <c r="Q10" s="8"/>
      <c r="R10" s="10" t="str">
        <f aca="false">IF($Q10="","",$Q10)</f>
        <v/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7"/>
      <c r="AE10" s="7"/>
      <c r="AF10" s="11" t="str">
        <f aca="false">IF(OR($A10="",$I10="",$AD10=""),"",$I10-$AD10-N($AE10))</f>
        <v/>
      </c>
      <c r="AG10" s="12" t="str">
        <f aca="false">IF($A10="","",IFERROR(INDEX(Checklist!$C$30:$G$30,MATCH($A10,Checklist!$C$1:$G$1,0)),""))</f>
        <v/>
      </c>
      <c r="AH10" s="13" t="str">
        <f aca="false">IF($A10="","",SUMIFS(שעות!$D$2:$D$500,שעות!$A$2:$A$500,$A10)-SUMIFS(שעות!$D$2:$D$500,שעות!$A$2:$A$500,$A10,שעות!$B$2:$B$500,"תמיכה (ריטיינר)"))</f>
        <v/>
      </c>
      <c r="AI10" s="11" t="str">
        <f aca="false">IF($A10="","",IFERROR($AF10/$AH10,""))</f>
        <v/>
      </c>
      <c r="AJ10" s="13" t="str">
        <f aca="false">IF($A10="","",SUMIFS(שעות!$D$2:$D$500,שעות!$A$2:$A$500,$A10,שעות!$B$2:$B$500,"תמיכה (ריטיינר)"))</f>
        <v/>
      </c>
      <c r="AK10" s="9" t="str">
        <f aca="false">IF($A10="","",COUNTIFS(פניות!$B$2:$B$500,$A10,פניות!$F$2:$F$500,"פתוחה"))</f>
        <v/>
      </c>
      <c r="AL10" s="5"/>
      <c r="AM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6" t="str">
        <f aca="false">IF($E11="","",IFERROR(INDEX(חבילות!$B$2:$B$4,MATCH($E11,חבילות!$A$2:$A$4,0)),""))</f>
        <v/>
      </c>
      <c r="G11" s="6" t="str">
        <f aca="false">IF($E11="","",IFERROR(INDEX(חבילות!$C$2:$C$4,MATCH($E11,חבילות!$A$2:$A$4,0)),""))</f>
        <v/>
      </c>
      <c r="H11" s="7"/>
      <c r="I11" s="6" t="str">
        <f aca="false">IF(OR($A11="",$F11=""),"",$F11+N($H11))</f>
        <v/>
      </c>
      <c r="J11" s="6" t="str">
        <f aca="false">IF($I11="","",ROUND($I11*חבילות!$E$2,0))</f>
        <v/>
      </c>
      <c r="K11" s="8"/>
      <c r="L11" s="9" t="str">
        <f aca="false">IF($A11="","",IF($K11="","לא — מקדמה טרם שולמה","כן"))</f>
        <v/>
      </c>
      <c r="M11" s="8"/>
      <c r="N11" s="6" t="str">
        <f aca="false">IF($I11="","",$I11-IF($K11="",0,$J11)-IF($M11="",0,$I11-$J11))</f>
        <v/>
      </c>
      <c r="O11" s="8"/>
      <c r="P11" s="8"/>
      <c r="Q11" s="8"/>
      <c r="R11" s="10" t="str">
        <f aca="false">IF($Q11="","",$Q11)</f>
        <v/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7"/>
      <c r="AE11" s="7"/>
      <c r="AF11" s="11" t="str">
        <f aca="false">IF(OR($A11="",$I11="",$AD11=""),"",$I11-$AD11-N($AE11))</f>
        <v/>
      </c>
      <c r="AG11" s="12" t="str">
        <f aca="false">IF($A11="","",IFERROR(INDEX(Checklist!$C$30:$G$30,MATCH($A11,Checklist!$C$1:$G$1,0)),""))</f>
        <v/>
      </c>
      <c r="AH11" s="13" t="str">
        <f aca="false">IF($A11="","",SUMIFS(שעות!$D$2:$D$500,שעות!$A$2:$A$500,$A11)-SUMIFS(שעות!$D$2:$D$500,שעות!$A$2:$A$500,$A11,שעות!$B$2:$B$500,"תמיכה (ריטיינר)"))</f>
        <v/>
      </c>
      <c r="AI11" s="11" t="str">
        <f aca="false">IF($A11="","",IFERROR($AF11/$AH11,""))</f>
        <v/>
      </c>
      <c r="AJ11" s="13" t="str">
        <f aca="false">IF($A11="","",SUMIFS(שעות!$D$2:$D$500,שעות!$A$2:$A$500,$A11,שעות!$B$2:$B$500,"תמיכה (ריטיינר)"))</f>
        <v/>
      </c>
      <c r="AK11" s="9" t="str">
        <f aca="false">IF($A11="","",COUNTIFS(פניות!$B$2:$B$500,$A11,פניות!$F$2:$F$500,"פתוחה"))</f>
        <v/>
      </c>
      <c r="AL11" s="5"/>
      <c r="AM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6" t="str">
        <f aca="false">IF($E12="","",IFERROR(INDEX(חבילות!$B$2:$B$4,MATCH($E12,חבילות!$A$2:$A$4,0)),""))</f>
        <v/>
      </c>
      <c r="G12" s="6" t="str">
        <f aca="false">IF($E12="","",IFERROR(INDEX(חבילות!$C$2:$C$4,MATCH($E12,חבילות!$A$2:$A$4,0)),""))</f>
        <v/>
      </c>
      <c r="H12" s="7"/>
      <c r="I12" s="6" t="str">
        <f aca="false">IF(OR($A12="",$F12=""),"",$F12+N($H12))</f>
        <v/>
      </c>
      <c r="J12" s="6" t="str">
        <f aca="false">IF($I12="","",ROUND($I12*חבילות!$E$2,0))</f>
        <v/>
      </c>
      <c r="K12" s="8"/>
      <c r="L12" s="9" t="str">
        <f aca="false">IF($A12="","",IF($K12="","לא — מקדמה טרם שולמה","כן"))</f>
        <v/>
      </c>
      <c r="M12" s="8"/>
      <c r="N12" s="6" t="str">
        <f aca="false">IF($I12="","",$I12-IF($K12="",0,$J12)-IF($M12="",0,$I12-$J12))</f>
        <v/>
      </c>
      <c r="O12" s="8"/>
      <c r="P12" s="8"/>
      <c r="Q12" s="8"/>
      <c r="R12" s="10" t="str">
        <f aca="false">IF($Q12="","",$Q12)</f>
        <v/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7"/>
      <c r="AE12" s="7"/>
      <c r="AF12" s="11" t="str">
        <f aca="false">IF(OR($A12="",$I12="",$AD12=""),"",$I12-$AD12-N($AE12))</f>
        <v/>
      </c>
      <c r="AG12" s="12" t="str">
        <f aca="false">IF($A12="","",IFERROR(INDEX(Checklist!$C$30:$G$30,MATCH($A12,Checklist!$C$1:$G$1,0)),""))</f>
        <v/>
      </c>
      <c r="AH12" s="13" t="str">
        <f aca="false">IF($A12="","",SUMIFS(שעות!$D$2:$D$500,שעות!$A$2:$A$500,$A12)-SUMIFS(שעות!$D$2:$D$500,שעות!$A$2:$A$500,$A12,שעות!$B$2:$B$500,"תמיכה (ריטיינר)"))</f>
        <v/>
      </c>
      <c r="AI12" s="11" t="str">
        <f aca="false">IF($A12="","",IFERROR($AF12/$AH12,""))</f>
        <v/>
      </c>
      <c r="AJ12" s="13" t="str">
        <f aca="false">IF($A12="","",SUMIFS(שעות!$D$2:$D$500,שעות!$A$2:$A$500,$A12,שעות!$B$2:$B$500,"תמיכה (ריטיינר)"))</f>
        <v/>
      </c>
      <c r="AK12" s="9" t="str">
        <f aca="false">IF($A12="","",COUNTIFS(פניות!$B$2:$B$500,$A12,פניות!$F$2:$F$500,"פתוחה"))</f>
        <v/>
      </c>
      <c r="AL12" s="5"/>
      <c r="AM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6" t="str">
        <f aca="false">IF($E13="","",IFERROR(INDEX(חבילות!$B$2:$B$4,MATCH($E13,חבילות!$A$2:$A$4,0)),""))</f>
        <v/>
      </c>
      <c r="G13" s="6" t="str">
        <f aca="false">IF($E13="","",IFERROR(INDEX(חבילות!$C$2:$C$4,MATCH($E13,חבילות!$A$2:$A$4,0)),""))</f>
        <v/>
      </c>
      <c r="H13" s="7"/>
      <c r="I13" s="6" t="str">
        <f aca="false">IF(OR($A13="",$F13=""),"",$F13+N($H13))</f>
        <v/>
      </c>
      <c r="J13" s="6" t="str">
        <f aca="false">IF($I13="","",ROUND($I13*חבילות!$E$2,0))</f>
        <v/>
      </c>
      <c r="K13" s="8"/>
      <c r="L13" s="9" t="str">
        <f aca="false">IF($A13="","",IF($K13="","לא — מקדמה טרם שולמה","כן"))</f>
        <v/>
      </c>
      <c r="M13" s="8"/>
      <c r="N13" s="6" t="str">
        <f aca="false">IF($I13="","",$I13-IF($K13="",0,$J13)-IF($M13="",0,$I13-$J13))</f>
        <v/>
      </c>
      <c r="O13" s="8"/>
      <c r="P13" s="8"/>
      <c r="Q13" s="8"/>
      <c r="R13" s="10" t="str">
        <f aca="false">IF($Q13="","",$Q13)</f>
        <v/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7"/>
      <c r="AE13" s="7"/>
      <c r="AF13" s="11" t="str">
        <f aca="false">IF(OR($A13="",$I13="",$AD13=""),"",$I13-$AD13-N($AE13))</f>
        <v/>
      </c>
      <c r="AG13" s="12" t="str">
        <f aca="false">IF($A13="","",IFERROR(INDEX(Checklist!$C$30:$G$30,MATCH($A13,Checklist!$C$1:$G$1,0)),""))</f>
        <v/>
      </c>
      <c r="AH13" s="13" t="str">
        <f aca="false">IF($A13="","",SUMIFS(שעות!$D$2:$D$500,שעות!$A$2:$A$500,$A13)-SUMIFS(שעות!$D$2:$D$500,שעות!$A$2:$A$500,$A13,שעות!$B$2:$B$500,"תמיכה (ריטיינר)"))</f>
        <v/>
      </c>
      <c r="AI13" s="11" t="str">
        <f aca="false">IF($A13="","",IFERROR($AF13/$AH13,""))</f>
        <v/>
      </c>
      <c r="AJ13" s="13" t="str">
        <f aca="false">IF($A13="","",SUMIFS(שעות!$D$2:$D$500,שעות!$A$2:$A$500,$A13,שעות!$B$2:$B$500,"תמיכה (ריטיינר)"))</f>
        <v/>
      </c>
      <c r="AK13" s="9" t="str">
        <f aca="false">IF($A13="","",COUNTIFS(פניות!$B$2:$B$500,$A13,פניות!$F$2:$F$500,"פתוחה"))</f>
        <v/>
      </c>
      <c r="AL13" s="5"/>
      <c r="AM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6" t="str">
        <f aca="false">IF($E14="","",IFERROR(INDEX(חבילות!$B$2:$B$4,MATCH($E14,חבילות!$A$2:$A$4,0)),""))</f>
        <v/>
      </c>
      <c r="G14" s="6" t="str">
        <f aca="false">IF($E14="","",IFERROR(INDEX(חבילות!$C$2:$C$4,MATCH($E14,חבילות!$A$2:$A$4,0)),""))</f>
        <v/>
      </c>
      <c r="H14" s="7"/>
      <c r="I14" s="6" t="str">
        <f aca="false">IF(OR($A14="",$F14=""),"",$F14+N($H14))</f>
        <v/>
      </c>
      <c r="J14" s="6" t="str">
        <f aca="false">IF($I14="","",ROUND($I14*חבילות!$E$2,0))</f>
        <v/>
      </c>
      <c r="K14" s="8"/>
      <c r="L14" s="9" t="str">
        <f aca="false">IF($A14="","",IF($K14="","לא — מקדמה טרם שולמה","כן"))</f>
        <v/>
      </c>
      <c r="M14" s="8"/>
      <c r="N14" s="6" t="str">
        <f aca="false">IF($I14="","",$I14-IF($K14="",0,$J14)-IF($M14="",0,$I14-$J14))</f>
        <v/>
      </c>
      <c r="O14" s="8"/>
      <c r="P14" s="8"/>
      <c r="Q14" s="8"/>
      <c r="R14" s="10" t="str">
        <f aca="false">IF($Q14="","",$Q14)</f>
        <v/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7"/>
      <c r="AE14" s="7"/>
      <c r="AF14" s="11" t="str">
        <f aca="false">IF(OR($A14="",$I14="",$AD14=""),"",$I14-$AD14-N($AE14))</f>
        <v/>
      </c>
      <c r="AG14" s="12" t="str">
        <f aca="false">IF($A14="","",IFERROR(INDEX(Checklist!$C$30:$G$30,MATCH($A14,Checklist!$C$1:$G$1,0)),""))</f>
        <v/>
      </c>
      <c r="AH14" s="13" t="str">
        <f aca="false">IF($A14="","",SUMIFS(שעות!$D$2:$D$500,שעות!$A$2:$A$500,$A14)-SUMIFS(שעות!$D$2:$D$500,שעות!$A$2:$A$500,$A14,שעות!$B$2:$B$500,"תמיכה (ריטיינר)"))</f>
        <v/>
      </c>
      <c r="AI14" s="11" t="str">
        <f aca="false">IF($A14="","",IFERROR($AF14/$AH14,""))</f>
        <v/>
      </c>
      <c r="AJ14" s="13" t="str">
        <f aca="false">IF($A14="","",SUMIFS(שעות!$D$2:$D$500,שעות!$A$2:$A$500,$A14,שעות!$B$2:$B$500,"תמיכה (ריטיינר)"))</f>
        <v/>
      </c>
      <c r="AK14" s="9" t="str">
        <f aca="false">IF($A14="","",COUNTIFS(פניות!$B$2:$B$500,$A14,פניות!$F$2:$F$500,"פתוחה"))</f>
        <v/>
      </c>
      <c r="AL14" s="5"/>
      <c r="AM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6" t="str">
        <f aca="false">IF($E15="","",IFERROR(INDEX(חבילות!$B$2:$B$4,MATCH($E15,חבילות!$A$2:$A$4,0)),""))</f>
        <v/>
      </c>
      <c r="G15" s="6" t="str">
        <f aca="false">IF($E15="","",IFERROR(INDEX(חבילות!$C$2:$C$4,MATCH($E15,חבילות!$A$2:$A$4,0)),""))</f>
        <v/>
      </c>
      <c r="H15" s="7"/>
      <c r="I15" s="6" t="str">
        <f aca="false">IF(OR($A15="",$F15=""),"",$F15+N($H15))</f>
        <v/>
      </c>
      <c r="J15" s="6" t="str">
        <f aca="false">IF($I15="","",ROUND($I15*חבילות!$E$2,0))</f>
        <v/>
      </c>
      <c r="K15" s="8"/>
      <c r="L15" s="9" t="str">
        <f aca="false">IF($A15="","",IF($K15="","לא — מקדמה טרם שולמה","כן"))</f>
        <v/>
      </c>
      <c r="M15" s="8"/>
      <c r="N15" s="6" t="str">
        <f aca="false">IF($I15="","",$I15-IF($K15="",0,$J15)-IF($M15="",0,$I15-$J15))</f>
        <v/>
      </c>
      <c r="O15" s="8"/>
      <c r="P15" s="8"/>
      <c r="Q15" s="8"/>
      <c r="R15" s="10" t="str">
        <f aca="false">IF($Q15="","",$Q15)</f>
        <v/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7"/>
      <c r="AE15" s="7"/>
      <c r="AF15" s="11" t="str">
        <f aca="false">IF(OR($A15="",$I15="",$AD15=""),"",$I15-$AD15-N($AE15))</f>
        <v/>
      </c>
      <c r="AG15" s="12" t="str">
        <f aca="false">IF($A15="","",IFERROR(INDEX(Checklist!$C$30:$G$30,MATCH($A15,Checklist!$C$1:$G$1,0)),""))</f>
        <v/>
      </c>
      <c r="AH15" s="13" t="str">
        <f aca="false">IF($A15="","",SUMIFS(שעות!$D$2:$D$500,שעות!$A$2:$A$500,$A15)-SUMIFS(שעות!$D$2:$D$500,שעות!$A$2:$A$500,$A15,שעות!$B$2:$B$500,"תמיכה (ריטיינר)"))</f>
        <v/>
      </c>
      <c r="AI15" s="11" t="str">
        <f aca="false">IF($A15="","",IFERROR($AF15/$AH15,""))</f>
        <v/>
      </c>
      <c r="AJ15" s="13" t="str">
        <f aca="false">IF($A15="","",SUMIFS(שעות!$D$2:$D$500,שעות!$A$2:$A$500,$A15,שעות!$B$2:$B$500,"תמיכה (ריטיינר)"))</f>
        <v/>
      </c>
      <c r="AK15" s="9" t="str">
        <f aca="false">IF($A15="","",COUNTIFS(פניות!$B$2:$B$500,$A15,פניות!$F$2:$F$500,"פתוחה"))</f>
        <v/>
      </c>
      <c r="AL15" s="5"/>
      <c r="AM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6" t="str">
        <f aca="false">IF($E16="","",IFERROR(INDEX(חבילות!$B$2:$B$4,MATCH($E16,חבילות!$A$2:$A$4,0)),""))</f>
        <v/>
      </c>
      <c r="G16" s="6" t="str">
        <f aca="false">IF($E16="","",IFERROR(INDEX(חבילות!$C$2:$C$4,MATCH($E16,חבילות!$A$2:$A$4,0)),""))</f>
        <v/>
      </c>
      <c r="H16" s="7"/>
      <c r="I16" s="6" t="str">
        <f aca="false">IF(OR($A16="",$F16=""),"",$F16+N($H16))</f>
        <v/>
      </c>
      <c r="J16" s="6" t="str">
        <f aca="false">IF($I16="","",ROUND($I16*חבילות!$E$2,0))</f>
        <v/>
      </c>
      <c r="K16" s="8"/>
      <c r="L16" s="9" t="str">
        <f aca="false">IF($A16="","",IF($K16="","לא — מקדמה טרם שולמה","כן"))</f>
        <v/>
      </c>
      <c r="M16" s="8"/>
      <c r="N16" s="6" t="str">
        <f aca="false">IF($I16="","",$I16-IF($K16="",0,$J16)-IF($M16="",0,$I16-$J16))</f>
        <v/>
      </c>
      <c r="O16" s="8"/>
      <c r="P16" s="8"/>
      <c r="Q16" s="8"/>
      <c r="R16" s="10" t="str">
        <f aca="false">IF($Q16="","",$Q16)</f>
        <v/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7"/>
      <c r="AE16" s="7"/>
      <c r="AF16" s="11" t="str">
        <f aca="false">IF(OR($A16="",$I16="",$AD16=""),"",$I16-$AD16-N($AE16))</f>
        <v/>
      </c>
      <c r="AG16" s="12" t="str">
        <f aca="false">IF($A16="","",IFERROR(INDEX(Checklist!$C$30:$G$30,MATCH($A16,Checklist!$C$1:$G$1,0)),""))</f>
        <v/>
      </c>
      <c r="AH16" s="13" t="str">
        <f aca="false">IF($A16="","",SUMIFS(שעות!$D$2:$D$500,שעות!$A$2:$A$500,$A16)-SUMIFS(שעות!$D$2:$D$500,שעות!$A$2:$A$500,$A16,שעות!$B$2:$B$500,"תמיכה (ריטיינר)"))</f>
        <v/>
      </c>
      <c r="AI16" s="11" t="str">
        <f aca="false">IF($A16="","",IFERROR($AF16/$AH16,""))</f>
        <v/>
      </c>
      <c r="AJ16" s="13" t="str">
        <f aca="false">IF($A16="","",SUMIFS(שעות!$D$2:$D$500,שעות!$A$2:$A$500,$A16,שעות!$B$2:$B$500,"תמיכה (ריטיינר)"))</f>
        <v/>
      </c>
      <c r="AK16" s="9" t="str">
        <f aca="false">IF($A16="","",COUNTIFS(פניות!$B$2:$B$500,$A16,פניות!$F$2:$F$500,"פתוחה"))</f>
        <v/>
      </c>
      <c r="AL16" s="5"/>
      <c r="AM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6" t="str">
        <f aca="false">IF($E17="","",IFERROR(INDEX(חבילות!$B$2:$B$4,MATCH($E17,חבילות!$A$2:$A$4,0)),""))</f>
        <v/>
      </c>
      <c r="G17" s="6" t="str">
        <f aca="false">IF($E17="","",IFERROR(INDEX(חבילות!$C$2:$C$4,MATCH($E17,חבילות!$A$2:$A$4,0)),""))</f>
        <v/>
      </c>
      <c r="H17" s="7"/>
      <c r="I17" s="6" t="str">
        <f aca="false">IF(OR($A17="",$F17=""),"",$F17+N($H17))</f>
        <v/>
      </c>
      <c r="J17" s="6" t="str">
        <f aca="false">IF($I17="","",ROUND($I17*חבילות!$E$2,0))</f>
        <v/>
      </c>
      <c r="K17" s="8"/>
      <c r="L17" s="9" t="str">
        <f aca="false">IF($A17="","",IF($K17="","לא — מקדמה טרם שולמה","כן"))</f>
        <v/>
      </c>
      <c r="M17" s="8"/>
      <c r="N17" s="6" t="str">
        <f aca="false">IF($I17="","",$I17-IF($K17="",0,$J17)-IF($M17="",0,$I17-$J17))</f>
        <v/>
      </c>
      <c r="O17" s="8"/>
      <c r="P17" s="8"/>
      <c r="Q17" s="8"/>
      <c r="R17" s="10" t="str">
        <f aca="false">IF($Q17="","",$Q17)</f>
        <v/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7"/>
      <c r="AE17" s="7"/>
      <c r="AF17" s="11" t="str">
        <f aca="false">IF(OR($A17="",$I17="",$AD17=""),"",$I17-$AD17-N($AE17))</f>
        <v/>
      </c>
      <c r="AG17" s="12" t="str">
        <f aca="false">IF($A17="","",IFERROR(INDEX(Checklist!$C$30:$G$30,MATCH($A17,Checklist!$C$1:$G$1,0)),""))</f>
        <v/>
      </c>
      <c r="AH17" s="13" t="str">
        <f aca="false">IF($A17="","",SUMIFS(שעות!$D$2:$D$500,שעות!$A$2:$A$500,$A17)-SUMIFS(שעות!$D$2:$D$500,שעות!$A$2:$A$500,$A17,שעות!$B$2:$B$500,"תמיכה (ריטיינר)"))</f>
        <v/>
      </c>
      <c r="AI17" s="11" t="str">
        <f aca="false">IF($A17="","",IFERROR($AF17/$AH17,""))</f>
        <v/>
      </c>
      <c r="AJ17" s="13" t="str">
        <f aca="false">IF($A17="","",SUMIFS(שעות!$D$2:$D$500,שעות!$A$2:$A$500,$A17,שעות!$B$2:$B$500,"תמיכה (ריטיינר)"))</f>
        <v/>
      </c>
      <c r="AK17" s="9" t="str">
        <f aca="false">IF($A17="","",COUNTIFS(פניות!$B$2:$B$500,$A17,פניות!$F$2:$F$500,"פתוחה"))</f>
        <v/>
      </c>
      <c r="AL17" s="5"/>
      <c r="AM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6" t="str">
        <f aca="false">IF($E18="","",IFERROR(INDEX(חבילות!$B$2:$B$4,MATCH($E18,חבילות!$A$2:$A$4,0)),""))</f>
        <v/>
      </c>
      <c r="G18" s="6" t="str">
        <f aca="false">IF($E18="","",IFERROR(INDEX(חבילות!$C$2:$C$4,MATCH($E18,חבילות!$A$2:$A$4,0)),""))</f>
        <v/>
      </c>
      <c r="H18" s="7"/>
      <c r="I18" s="6" t="str">
        <f aca="false">IF(OR($A18="",$F18=""),"",$F18+N($H18))</f>
        <v/>
      </c>
      <c r="J18" s="6" t="str">
        <f aca="false">IF($I18="","",ROUND($I18*חבילות!$E$2,0))</f>
        <v/>
      </c>
      <c r="K18" s="8"/>
      <c r="L18" s="9" t="str">
        <f aca="false">IF($A18="","",IF($K18="","לא — מקדמה טרם שולמה","כן"))</f>
        <v/>
      </c>
      <c r="M18" s="8"/>
      <c r="N18" s="6" t="str">
        <f aca="false">IF($I18="","",$I18-IF($K18="",0,$J18)-IF($M18="",0,$I18-$J18))</f>
        <v/>
      </c>
      <c r="O18" s="8"/>
      <c r="P18" s="8"/>
      <c r="Q18" s="8"/>
      <c r="R18" s="10" t="str">
        <f aca="false">IF($Q18="","",$Q18)</f>
        <v/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7"/>
      <c r="AE18" s="7"/>
      <c r="AF18" s="11" t="str">
        <f aca="false">IF(OR($A18="",$I18="",$AD18=""),"",$I18-$AD18-N($AE18))</f>
        <v/>
      </c>
      <c r="AG18" s="12" t="str">
        <f aca="false">IF($A18="","",IFERROR(INDEX(Checklist!$C$30:$G$30,MATCH($A18,Checklist!$C$1:$G$1,0)),""))</f>
        <v/>
      </c>
      <c r="AH18" s="13" t="str">
        <f aca="false">IF($A18="","",SUMIFS(שעות!$D$2:$D$500,שעות!$A$2:$A$500,$A18)-SUMIFS(שעות!$D$2:$D$500,שעות!$A$2:$A$500,$A18,שעות!$B$2:$B$500,"תמיכה (ריטיינר)"))</f>
        <v/>
      </c>
      <c r="AI18" s="11" t="str">
        <f aca="false">IF($A18="","",IFERROR($AF18/$AH18,""))</f>
        <v/>
      </c>
      <c r="AJ18" s="13" t="str">
        <f aca="false">IF($A18="","",SUMIFS(שעות!$D$2:$D$500,שעות!$A$2:$A$500,$A18,שעות!$B$2:$B$500,"תמיכה (ריטיינר)"))</f>
        <v/>
      </c>
      <c r="AK18" s="9" t="str">
        <f aca="false">IF($A18="","",COUNTIFS(פניות!$B$2:$B$500,$A18,פניות!$F$2:$F$500,"פתוחה"))</f>
        <v/>
      </c>
      <c r="AL18" s="5"/>
      <c r="AM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6" t="str">
        <f aca="false">IF($E19="","",IFERROR(INDEX(חבילות!$B$2:$B$4,MATCH($E19,חבילות!$A$2:$A$4,0)),""))</f>
        <v/>
      </c>
      <c r="G19" s="6" t="str">
        <f aca="false">IF($E19="","",IFERROR(INDEX(חבילות!$C$2:$C$4,MATCH($E19,חבילות!$A$2:$A$4,0)),""))</f>
        <v/>
      </c>
      <c r="H19" s="7"/>
      <c r="I19" s="6" t="str">
        <f aca="false">IF(OR($A19="",$F19=""),"",$F19+N($H19))</f>
        <v/>
      </c>
      <c r="J19" s="6" t="str">
        <f aca="false">IF($I19="","",ROUND($I19*חבילות!$E$2,0))</f>
        <v/>
      </c>
      <c r="K19" s="8"/>
      <c r="L19" s="9" t="str">
        <f aca="false">IF($A19="","",IF($K19="","לא — מקדמה טרם שולמה","כן"))</f>
        <v/>
      </c>
      <c r="M19" s="8"/>
      <c r="N19" s="6" t="str">
        <f aca="false">IF($I19="","",$I19-IF($K19="",0,$J19)-IF($M19="",0,$I19-$J19))</f>
        <v/>
      </c>
      <c r="O19" s="8"/>
      <c r="P19" s="8"/>
      <c r="Q19" s="8"/>
      <c r="R19" s="10" t="str">
        <f aca="false">IF($Q19="","",$Q19)</f>
        <v/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7"/>
      <c r="AE19" s="7"/>
      <c r="AF19" s="11" t="str">
        <f aca="false">IF(OR($A19="",$I19="",$AD19=""),"",$I19-$AD19-N($AE19))</f>
        <v/>
      </c>
      <c r="AG19" s="12" t="str">
        <f aca="false">IF($A19="","",IFERROR(INDEX(Checklist!$C$30:$G$30,MATCH($A19,Checklist!$C$1:$G$1,0)),""))</f>
        <v/>
      </c>
      <c r="AH19" s="13" t="str">
        <f aca="false">IF($A19="","",SUMIFS(שעות!$D$2:$D$500,שעות!$A$2:$A$500,$A19)-SUMIFS(שעות!$D$2:$D$500,שעות!$A$2:$A$500,$A19,שעות!$B$2:$B$500,"תמיכה (ריטיינר)"))</f>
        <v/>
      </c>
      <c r="AI19" s="11" t="str">
        <f aca="false">IF($A19="","",IFERROR($AF19/$AH19,""))</f>
        <v/>
      </c>
      <c r="AJ19" s="13" t="str">
        <f aca="false">IF($A19="","",SUMIFS(שעות!$D$2:$D$500,שעות!$A$2:$A$500,$A19,שעות!$B$2:$B$500,"תמיכה (ריטיינר)"))</f>
        <v/>
      </c>
      <c r="AK19" s="9" t="str">
        <f aca="false">IF($A19="","",COUNTIFS(פניות!$B$2:$B$500,$A19,פניות!$F$2:$F$500,"פתוחה"))</f>
        <v/>
      </c>
      <c r="AL19" s="5"/>
      <c r="AM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6" t="str">
        <f aca="false">IF($E20="","",IFERROR(INDEX(חבילות!$B$2:$B$4,MATCH($E20,חבילות!$A$2:$A$4,0)),""))</f>
        <v/>
      </c>
      <c r="G20" s="6" t="str">
        <f aca="false">IF($E20="","",IFERROR(INDEX(חבילות!$C$2:$C$4,MATCH($E20,חבילות!$A$2:$A$4,0)),""))</f>
        <v/>
      </c>
      <c r="H20" s="7"/>
      <c r="I20" s="6" t="str">
        <f aca="false">IF(OR($A20="",$F20=""),"",$F20+N($H20))</f>
        <v/>
      </c>
      <c r="J20" s="6" t="str">
        <f aca="false">IF($I20="","",ROUND($I20*חבילות!$E$2,0))</f>
        <v/>
      </c>
      <c r="K20" s="8"/>
      <c r="L20" s="9" t="str">
        <f aca="false">IF($A20="","",IF($K20="","לא — מקדמה טרם שולמה","כן"))</f>
        <v/>
      </c>
      <c r="M20" s="8"/>
      <c r="N20" s="6" t="str">
        <f aca="false">IF($I20="","",$I20-IF($K20="",0,$J20)-IF($M20="",0,$I20-$J20))</f>
        <v/>
      </c>
      <c r="O20" s="8"/>
      <c r="P20" s="8"/>
      <c r="Q20" s="8"/>
      <c r="R20" s="10" t="str">
        <f aca="false">IF($Q20="","",$Q20)</f>
        <v/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7"/>
      <c r="AE20" s="7"/>
      <c r="AF20" s="11" t="str">
        <f aca="false">IF(OR($A20="",$I20="",$AD20=""),"",$I20-$AD20-N($AE20))</f>
        <v/>
      </c>
      <c r="AG20" s="12" t="str">
        <f aca="false">IF($A20="","",IFERROR(INDEX(Checklist!$C$30:$G$30,MATCH($A20,Checklist!$C$1:$G$1,0)),""))</f>
        <v/>
      </c>
      <c r="AH20" s="13" t="str">
        <f aca="false">IF($A20="","",SUMIFS(שעות!$D$2:$D$500,שעות!$A$2:$A$500,$A20)-SUMIFS(שעות!$D$2:$D$500,שעות!$A$2:$A$500,$A20,שעות!$B$2:$B$500,"תמיכה (ריטיינר)"))</f>
        <v/>
      </c>
      <c r="AI20" s="11" t="str">
        <f aca="false">IF($A20="","",IFERROR($AF20/$AH20,""))</f>
        <v/>
      </c>
      <c r="AJ20" s="13" t="str">
        <f aca="false">IF($A20="","",SUMIFS(שעות!$D$2:$D$500,שעות!$A$2:$A$500,$A20,שעות!$B$2:$B$500,"תמיכה (ריטיינר)"))</f>
        <v/>
      </c>
      <c r="AK20" s="9" t="str">
        <f aca="false">IF($A20="","",COUNTIFS(פניות!$B$2:$B$500,$A20,פניות!$F$2:$F$500,"פתוחה"))</f>
        <v/>
      </c>
      <c r="AL20" s="5"/>
      <c r="AM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6" t="str">
        <f aca="false">IF($E21="","",IFERROR(INDEX(חבילות!$B$2:$B$4,MATCH($E21,חבילות!$A$2:$A$4,0)),""))</f>
        <v/>
      </c>
      <c r="G21" s="6" t="str">
        <f aca="false">IF($E21="","",IFERROR(INDEX(חבילות!$C$2:$C$4,MATCH($E21,חבילות!$A$2:$A$4,0)),""))</f>
        <v/>
      </c>
      <c r="H21" s="7"/>
      <c r="I21" s="6" t="str">
        <f aca="false">IF(OR($A21="",$F21=""),"",$F21+N($H21))</f>
        <v/>
      </c>
      <c r="J21" s="6" t="str">
        <f aca="false">IF($I21="","",ROUND($I21*חבילות!$E$2,0))</f>
        <v/>
      </c>
      <c r="K21" s="8"/>
      <c r="L21" s="9" t="str">
        <f aca="false">IF($A21="","",IF($K21="","לא — מקדמה טרם שולמה","כן"))</f>
        <v/>
      </c>
      <c r="M21" s="8"/>
      <c r="N21" s="6" t="str">
        <f aca="false">IF($I21="","",$I21-IF($K21="",0,$J21)-IF($M21="",0,$I21-$J21))</f>
        <v/>
      </c>
      <c r="O21" s="8"/>
      <c r="P21" s="8"/>
      <c r="Q21" s="8"/>
      <c r="R21" s="10" t="str">
        <f aca="false">IF($Q21="","",$Q21)</f>
        <v/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7"/>
      <c r="AE21" s="7"/>
      <c r="AF21" s="11" t="str">
        <f aca="false">IF(OR($A21="",$I21="",$AD21=""),"",$I21-$AD21-N($AE21))</f>
        <v/>
      </c>
      <c r="AG21" s="12" t="str">
        <f aca="false">IF($A21="","",IFERROR(INDEX(Checklist!$C$30:$G$30,MATCH($A21,Checklist!$C$1:$G$1,0)),""))</f>
        <v/>
      </c>
      <c r="AH21" s="13" t="str">
        <f aca="false">IF($A21="","",SUMIFS(שעות!$D$2:$D$500,שעות!$A$2:$A$500,$A21)-SUMIFS(שעות!$D$2:$D$500,שעות!$A$2:$A$500,$A21,שעות!$B$2:$B$500,"תמיכה (ריטיינר)"))</f>
        <v/>
      </c>
      <c r="AI21" s="11" t="str">
        <f aca="false">IF($A21="","",IFERROR($AF21/$AH21,""))</f>
        <v/>
      </c>
      <c r="AJ21" s="13" t="str">
        <f aca="false">IF($A21="","",SUMIFS(שעות!$D$2:$D$500,שעות!$A$2:$A$500,$A21,שעות!$B$2:$B$500,"תמיכה (ריטיינר)"))</f>
        <v/>
      </c>
      <c r="AK21" s="9" t="str">
        <f aca="false">IF($A21="","",COUNTIFS(פניות!$B$2:$B$500,$A21,פניות!$F$2:$F$500,"פתוחה"))</f>
        <v/>
      </c>
      <c r="AL21" s="5"/>
      <c r="AM21" s="5"/>
    </row>
  </sheetData>
  <dataValidations count="4">
    <dataValidation allowBlank="true" errorStyle="stop" operator="between" showDropDown="false" showErrorMessage="false" showInputMessage="false" sqref="E2:E21" type="list">
      <formula1>חבילות!$A$2:$A$4</formula1>
      <formula2>0</formula2>
    </dataValidation>
    <dataValidation allowBlank="true" errorStyle="stop" operator="between" showDropDown="false" showErrorMessage="false" showInputMessage="false" sqref="S2:S21" type="list">
      <formula1>"ליד,סקר בית,הצעה נשלחה,הזמנת ציוד,התקנה,בדיקות קבלה,פעיל,מושהה,הופסק"</formula1>
      <formula2>0</formula2>
    </dataValidation>
    <dataValidation allowBlank="true" errorStyle="stop" operator="between" showDropDown="false" showErrorMessage="false" showInputMessage="false" sqref="X2:X21" type="list">
      <formula1>"כן,לא"</formula1>
      <formula2>0</formula2>
    </dataValidation>
    <dataValidation allowBlank="true" errorStyle="stop" operator="between" showDropDown="false" showErrorMessage="false" showInputMessage="false" sqref="AB2:AB21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7" min="3" style="0" width="12"/>
  </cols>
  <sheetData>
    <row r="1" customFormat="false" ht="39.75" hidden="false" customHeight="true" outlineLevel="0" collapsed="false">
      <c r="A1" s="4" t="s">
        <v>75</v>
      </c>
      <c r="B1" s="4" t="s">
        <v>76</v>
      </c>
      <c r="C1" s="4" t="str">
        <f aca="false">IF(לקוחות!$A2="","",לקוחות!$A2)</f>
        <v>C001</v>
      </c>
      <c r="D1" s="4" t="str">
        <f aca="false">IF(לקוחות!$A3="","",לקוחות!$A3)</f>
        <v/>
      </c>
      <c r="E1" s="4" t="str">
        <f aca="false">IF(לקוחות!$A4="","",לקוחות!$A4)</f>
        <v/>
      </c>
      <c r="F1" s="4" t="str">
        <f aca="false">IF(לקוחות!$A5="","",לקוחות!$A5)</f>
        <v/>
      </c>
      <c r="G1" s="4" t="str">
        <f aca="false">IF(לקוחות!$A6="","",לקוחות!$A6)</f>
        <v/>
      </c>
    </row>
    <row r="2" customFormat="false" ht="15" hidden="false" customHeight="false" outlineLevel="0" collapsed="false">
      <c r="A2" s="14" t="s">
        <v>77</v>
      </c>
      <c r="B2" s="15" t="s">
        <v>78</v>
      </c>
      <c r="C2" s="16" t="s">
        <v>79</v>
      </c>
      <c r="D2" s="16"/>
      <c r="E2" s="16"/>
      <c r="F2" s="16"/>
      <c r="G2" s="16"/>
    </row>
    <row r="3" customFormat="false" ht="15" hidden="false" customHeight="false" outlineLevel="0" collapsed="false">
      <c r="A3" s="14" t="s">
        <v>77</v>
      </c>
      <c r="B3" s="15" t="s">
        <v>80</v>
      </c>
      <c r="C3" s="16" t="s">
        <v>79</v>
      </c>
      <c r="D3" s="16"/>
      <c r="E3" s="16"/>
      <c r="F3" s="16"/>
      <c r="G3" s="16"/>
    </row>
    <row r="4" customFormat="false" ht="15" hidden="false" customHeight="false" outlineLevel="0" collapsed="false">
      <c r="A4" s="14" t="s">
        <v>77</v>
      </c>
      <c r="B4" s="15" t="s">
        <v>81</v>
      </c>
      <c r="C4" s="16" t="s">
        <v>79</v>
      </c>
      <c r="D4" s="16"/>
      <c r="E4" s="16"/>
      <c r="F4" s="16"/>
      <c r="G4" s="16"/>
    </row>
    <row r="5" customFormat="false" ht="15" hidden="false" customHeight="false" outlineLevel="0" collapsed="false">
      <c r="A5" s="14" t="s">
        <v>77</v>
      </c>
      <c r="B5" s="15" t="s">
        <v>82</v>
      </c>
      <c r="C5" s="16" t="s">
        <v>79</v>
      </c>
      <c r="D5" s="16"/>
      <c r="E5" s="16"/>
      <c r="F5" s="16"/>
      <c r="G5" s="16"/>
    </row>
    <row r="6" customFormat="false" ht="15" hidden="false" customHeight="false" outlineLevel="0" collapsed="false">
      <c r="A6" s="14" t="s">
        <v>77</v>
      </c>
      <c r="B6" s="15" t="s">
        <v>83</v>
      </c>
      <c r="C6" s="16" t="s">
        <v>79</v>
      </c>
      <c r="D6" s="16"/>
      <c r="E6" s="16"/>
      <c r="F6" s="16"/>
      <c r="G6" s="16"/>
    </row>
    <row r="7" customFormat="false" ht="15" hidden="false" customHeight="false" outlineLevel="0" collapsed="false">
      <c r="A7" s="14" t="s">
        <v>77</v>
      </c>
      <c r="B7" s="15" t="s">
        <v>84</v>
      </c>
      <c r="C7" s="16" t="s">
        <v>79</v>
      </c>
      <c r="D7" s="16"/>
      <c r="E7" s="16"/>
      <c r="F7" s="16"/>
      <c r="G7" s="16"/>
    </row>
    <row r="8" customFormat="false" ht="15" hidden="false" customHeight="false" outlineLevel="0" collapsed="false">
      <c r="A8" s="14" t="s">
        <v>85</v>
      </c>
      <c r="B8" s="15" t="s">
        <v>86</v>
      </c>
      <c r="C8" s="16" t="s">
        <v>87</v>
      </c>
      <c r="D8" s="16"/>
      <c r="E8" s="16"/>
      <c r="F8" s="16"/>
      <c r="G8" s="16"/>
    </row>
    <row r="9" customFormat="false" ht="15" hidden="false" customHeight="false" outlineLevel="0" collapsed="false">
      <c r="A9" s="14" t="s">
        <v>85</v>
      </c>
      <c r="B9" s="15" t="s">
        <v>88</v>
      </c>
      <c r="C9" s="16" t="s">
        <v>87</v>
      </c>
      <c r="D9" s="16"/>
      <c r="E9" s="16"/>
      <c r="F9" s="16"/>
      <c r="G9" s="16"/>
    </row>
    <row r="10" customFormat="false" ht="15" hidden="false" customHeight="false" outlineLevel="0" collapsed="false">
      <c r="A10" s="14" t="s">
        <v>85</v>
      </c>
      <c r="B10" s="15" t="s">
        <v>89</v>
      </c>
      <c r="C10" s="16" t="s">
        <v>87</v>
      </c>
      <c r="D10" s="16"/>
      <c r="E10" s="16"/>
      <c r="F10" s="16"/>
      <c r="G10" s="16"/>
    </row>
    <row r="11" customFormat="false" ht="15" hidden="false" customHeight="false" outlineLevel="0" collapsed="false">
      <c r="A11" s="14" t="s">
        <v>85</v>
      </c>
      <c r="B11" s="15" t="s">
        <v>90</v>
      </c>
      <c r="C11" s="16" t="s">
        <v>87</v>
      </c>
      <c r="D11" s="16"/>
      <c r="E11" s="16"/>
      <c r="F11" s="16"/>
      <c r="G11" s="16"/>
    </row>
    <row r="12" customFormat="false" ht="15" hidden="false" customHeight="false" outlineLevel="0" collapsed="false">
      <c r="A12" s="14" t="s">
        <v>85</v>
      </c>
      <c r="B12" s="15" t="s">
        <v>91</v>
      </c>
      <c r="C12" s="16" t="s">
        <v>87</v>
      </c>
      <c r="D12" s="16"/>
      <c r="E12" s="16"/>
      <c r="F12" s="16"/>
      <c r="G12" s="16"/>
    </row>
    <row r="13" customFormat="false" ht="15" hidden="false" customHeight="false" outlineLevel="0" collapsed="false">
      <c r="A13" s="14" t="s">
        <v>92</v>
      </c>
      <c r="B13" s="15" t="s">
        <v>93</v>
      </c>
      <c r="C13" s="16" t="s">
        <v>79</v>
      </c>
      <c r="D13" s="16"/>
      <c r="E13" s="16"/>
      <c r="F13" s="16"/>
      <c r="G13" s="16"/>
    </row>
    <row r="14" customFormat="false" ht="15" hidden="false" customHeight="false" outlineLevel="0" collapsed="false">
      <c r="A14" s="14" t="s">
        <v>92</v>
      </c>
      <c r="B14" s="15" t="s">
        <v>94</v>
      </c>
      <c r="C14" s="16" t="s">
        <v>79</v>
      </c>
      <c r="D14" s="16"/>
      <c r="E14" s="16"/>
      <c r="F14" s="16"/>
      <c r="G14" s="16"/>
    </row>
    <row r="15" customFormat="false" ht="15" hidden="false" customHeight="false" outlineLevel="0" collapsed="false">
      <c r="A15" s="14" t="s">
        <v>92</v>
      </c>
      <c r="B15" s="15" t="s">
        <v>95</v>
      </c>
      <c r="C15" s="16" t="s">
        <v>79</v>
      </c>
      <c r="D15" s="16"/>
      <c r="E15" s="16"/>
      <c r="F15" s="16"/>
      <c r="G15" s="16"/>
    </row>
    <row r="16" customFormat="false" ht="15" hidden="false" customHeight="false" outlineLevel="0" collapsed="false">
      <c r="A16" s="14" t="s">
        <v>92</v>
      </c>
      <c r="B16" s="15" t="s">
        <v>96</v>
      </c>
      <c r="C16" s="16" t="s">
        <v>79</v>
      </c>
      <c r="D16" s="16"/>
      <c r="E16" s="16"/>
      <c r="F16" s="16"/>
      <c r="G16" s="16"/>
    </row>
    <row r="17" customFormat="false" ht="15" hidden="false" customHeight="false" outlineLevel="0" collapsed="false">
      <c r="A17" s="14" t="s">
        <v>92</v>
      </c>
      <c r="B17" s="15" t="s">
        <v>97</v>
      </c>
      <c r="C17" s="16" t="s">
        <v>79</v>
      </c>
      <c r="D17" s="16"/>
      <c r="E17" s="16"/>
      <c r="F17" s="16"/>
      <c r="G17" s="16"/>
    </row>
    <row r="18" customFormat="false" ht="15" hidden="false" customHeight="false" outlineLevel="0" collapsed="false">
      <c r="A18" s="14" t="s">
        <v>98</v>
      </c>
      <c r="B18" s="15" t="s">
        <v>99</v>
      </c>
      <c r="C18" s="16" t="s">
        <v>79</v>
      </c>
      <c r="D18" s="16"/>
      <c r="E18" s="16"/>
      <c r="F18" s="16"/>
      <c r="G18" s="16"/>
    </row>
    <row r="19" customFormat="false" ht="15" hidden="false" customHeight="false" outlineLevel="0" collapsed="false">
      <c r="A19" s="14" t="s">
        <v>98</v>
      </c>
      <c r="B19" s="15" t="s">
        <v>100</v>
      </c>
      <c r="C19" s="16" t="s">
        <v>79</v>
      </c>
      <c r="D19" s="16"/>
      <c r="E19" s="16"/>
      <c r="F19" s="16"/>
      <c r="G19" s="16"/>
    </row>
    <row r="20" customFormat="false" ht="15" hidden="false" customHeight="false" outlineLevel="0" collapsed="false">
      <c r="A20" s="14" t="s">
        <v>98</v>
      </c>
      <c r="B20" s="15" t="s">
        <v>101</v>
      </c>
      <c r="C20" s="16" t="s">
        <v>79</v>
      </c>
      <c r="D20" s="16"/>
      <c r="E20" s="16"/>
      <c r="F20" s="16"/>
      <c r="G20" s="16"/>
    </row>
    <row r="21" customFormat="false" ht="15" hidden="false" customHeight="false" outlineLevel="0" collapsed="false">
      <c r="A21" s="14" t="s">
        <v>98</v>
      </c>
      <c r="B21" s="15" t="s">
        <v>102</v>
      </c>
      <c r="C21" s="16" t="s">
        <v>79</v>
      </c>
      <c r="D21" s="16"/>
      <c r="E21" s="16"/>
      <c r="F21" s="16"/>
      <c r="G21" s="16"/>
    </row>
    <row r="22" customFormat="false" ht="15" hidden="false" customHeight="false" outlineLevel="0" collapsed="false">
      <c r="A22" s="14" t="s">
        <v>98</v>
      </c>
      <c r="B22" s="15" t="s">
        <v>103</v>
      </c>
      <c r="C22" s="16" t="s">
        <v>79</v>
      </c>
      <c r="D22" s="16"/>
      <c r="E22" s="16"/>
      <c r="F22" s="16"/>
      <c r="G22" s="16"/>
    </row>
    <row r="23" customFormat="false" ht="15" hidden="false" customHeight="false" outlineLevel="0" collapsed="false">
      <c r="A23" s="14" t="s">
        <v>98</v>
      </c>
      <c r="B23" s="15" t="s">
        <v>104</v>
      </c>
      <c r="C23" s="16" t="s">
        <v>87</v>
      </c>
      <c r="D23" s="16"/>
      <c r="E23" s="16"/>
      <c r="F23" s="16"/>
      <c r="G23" s="16"/>
    </row>
    <row r="24" customFormat="false" ht="15" hidden="false" customHeight="false" outlineLevel="0" collapsed="false">
      <c r="A24" s="14" t="s">
        <v>98</v>
      </c>
      <c r="B24" s="15" t="s">
        <v>105</v>
      </c>
      <c r="C24" s="16" t="s">
        <v>79</v>
      </c>
      <c r="D24" s="16"/>
      <c r="E24" s="16"/>
      <c r="F24" s="16"/>
      <c r="G24" s="16"/>
    </row>
    <row r="25" customFormat="false" ht="15" hidden="false" customHeight="false" outlineLevel="0" collapsed="false">
      <c r="A25" s="14" t="s">
        <v>98</v>
      </c>
      <c r="B25" s="15" t="s">
        <v>106</v>
      </c>
      <c r="C25" s="16" t="s">
        <v>79</v>
      </c>
      <c r="D25" s="16"/>
      <c r="E25" s="16"/>
      <c r="F25" s="16"/>
      <c r="G25" s="16"/>
    </row>
    <row r="26" customFormat="false" ht="15" hidden="false" customHeight="false" outlineLevel="0" collapsed="false">
      <c r="A26" s="14" t="s">
        <v>98</v>
      </c>
      <c r="B26" s="15" t="s">
        <v>107</v>
      </c>
      <c r="C26" s="16" t="s">
        <v>79</v>
      </c>
      <c r="D26" s="16"/>
      <c r="E26" s="16"/>
      <c r="F26" s="16"/>
      <c r="G26" s="16"/>
    </row>
    <row r="27" customFormat="false" ht="15" hidden="false" customHeight="false" outlineLevel="0" collapsed="false">
      <c r="A27" s="14" t="s">
        <v>108</v>
      </c>
      <c r="B27" s="15" t="s">
        <v>109</v>
      </c>
      <c r="C27" s="16" t="s">
        <v>79</v>
      </c>
      <c r="D27" s="16"/>
      <c r="E27" s="16"/>
      <c r="F27" s="16"/>
      <c r="G27" s="16"/>
    </row>
    <row r="28" customFormat="false" ht="15" hidden="false" customHeight="false" outlineLevel="0" collapsed="false">
      <c r="A28" s="14" t="s">
        <v>108</v>
      </c>
      <c r="B28" s="15" t="s">
        <v>110</v>
      </c>
      <c r="C28" s="16" t="s">
        <v>79</v>
      </c>
      <c r="D28" s="16"/>
      <c r="E28" s="16"/>
      <c r="F28" s="16"/>
      <c r="G28" s="16"/>
    </row>
    <row r="29" customFormat="false" ht="15" hidden="false" customHeight="false" outlineLevel="0" collapsed="false">
      <c r="A29" s="14" t="s">
        <v>108</v>
      </c>
      <c r="B29" s="15" t="s">
        <v>111</v>
      </c>
      <c r="C29" s="16" t="s">
        <v>79</v>
      </c>
      <c r="D29" s="16"/>
      <c r="E29" s="16"/>
      <c r="F29" s="16"/>
      <c r="G29" s="16"/>
    </row>
    <row r="30" customFormat="false" ht="15" hidden="false" customHeight="false" outlineLevel="0" collapsed="false">
      <c r="A30" s="17"/>
      <c r="B30" s="18" t="s">
        <v>112</v>
      </c>
      <c r="C30" s="19" t="n">
        <f aca="false">IF(C$1="","",COUNTIF(C2:C29,"✓")/MAX(1,ROWS(C2:C29)-COUNTIF(C2:C29,"לא רלוונטי")))</f>
        <v>1</v>
      </c>
      <c r="D30" s="19" t="str">
        <f aca="false">IF(D$1="","",COUNTIF(D2:D29,"✓")/MAX(1,ROWS(D2:D29)-COUNTIF(D2:D29,"לא רלוונטי")))</f>
        <v/>
      </c>
      <c r="E30" s="19" t="str">
        <f aca="false">IF(E$1="","",COUNTIF(E2:E29,"✓")/MAX(1,ROWS(E2:E29)-COUNTIF(E2:E29,"לא רלוונטי")))</f>
        <v/>
      </c>
      <c r="F30" s="19" t="str">
        <f aca="false">IF(F$1="","",COUNTIF(F2:F29,"✓")/MAX(1,ROWS(F2:F29)-COUNTIF(F2:F29,"לא רלוונטי")))</f>
        <v/>
      </c>
      <c r="G30" s="19" t="str">
        <f aca="false">IF(G$1="","",COUNTIF(G2:G29,"✓")/MAX(1,ROWS(G2:G29)-COUNTIF(G2:G29,"לא רלוונטי")))</f>
        <v/>
      </c>
    </row>
  </sheetData>
  <conditionalFormatting sqref="C2:G2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  <cfRule type="cellIs" priority="4" operator="equal" aboveAverage="0" equalAverage="0" bottom="0" percent="0" rank="0" text="" dxfId="2">
      <formula>"לא רלוונטי"</formula>
    </cfRule>
  </conditionalFormatting>
  <dataValidations count="1">
    <dataValidation allowBlank="true" errorStyle="stop" operator="between" showDropDown="false" showErrorMessage="false" showInputMessage="false" sqref="C2:G29" type="list">
      <formula1>"✓,✗,לא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44"/>
    <col collapsed="false" customWidth="true" hidden="false" outlineLevel="0" max="7" min="7" style="0" width="60"/>
  </cols>
  <sheetData>
    <row r="1" customFormat="false" ht="39.75" hidden="false" customHeight="true" outlineLevel="0" collapsed="false">
      <c r="A1" s="4" t="s">
        <v>19</v>
      </c>
      <c r="B1" s="4" t="s">
        <v>113</v>
      </c>
      <c r="C1" s="4" t="s">
        <v>114</v>
      </c>
      <c r="D1" s="4" t="s">
        <v>115</v>
      </c>
      <c r="E1" s="4" t="s">
        <v>116</v>
      </c>
      <c r="G1" s="20" t="s">
        <v>117</v>
      </c>
    </row>
    <row r="2" customFormat="false" ht="15" hidden="false" customHeight="false" outlineLevel="0" collapsed="false">
      <c r="A2" s="5" t="s">
        <v>58</v>
      </c>
      <c r="B2" s="5" t="s">
        <v>118</v>
      </c>
      <c r="C2" s="8" t="n">
        <v>46293</v>
      </c>
      <c r="D2" s="21" t="n">
        <v>1.5</v>
      </c>
      <c r="E2" s="5" t="s">
        <v>119</v>
      </c>
    </row>
    <row r="3" customFormat="false" ht="15" hidden="false" customHeight="false" outlineLevel="0" collapsed="false">
      <c r="A3" s="5" t="s">
        <v>58</v>
      </c>
      <c r="B3" s="5" t="s">
        <v>120</v>
      </c>
      <c r="C3" s="8" t="n">
        <v>46293</v>
      </c>
      <c r="D3" s="21" t="n">
        <v>1</v>
      </c>
      <c r="E3" s="5"/>
    </row>
    <row r="4" customFormat="false" ht="15" hidden="false" customHeight="false" outlineLevel="0" collapsed="false">
      <c r="A4" s="5" t="s">
        <v>58</v>
      </c>
      <c r="B4" s="5" t="s">
        <v>121</v>
      </c>
      <c r="C4" s="8" t="n">
        <v>46300</v>
      </c>
      <c r="D4" s="21" t="n">
        <v>2</v>
      </c>
      <c r="E4" s="5"/>
    </row>
    <row r="5" customFormat="false" ht="15" hidden="false" customHeight="false" outlineLevel="0" collapsed="false">
      <c r="A5" s="5" t="s">
        <v>58</v>
      </c>
      <c r="B5" s="5" t="s">
        <v>120</v>
      </c>
      <c r="C5" s="8" t="n">
        <v>46300</v>
      </c>
      <c r="D5" s="21" t="n">
        <v>1</v>
      </c>
      <c r="E5" s="5"/>
    </row>
    <row r="6" customFormat="false" ht="15" hidden="false" customHeight="false" outlineLevel="0" collapsed="false">
      <c r="A6" s="5" t="s">
        <v>58</v>
      </c>
      <c r="B6" s="5" t="s">
        <v>122</v>
      </c>
      <c r="C6" s="8" t="n">
        <v>46303</v>
      </c>
      <c r="D6" s="21" t="n">
        <v>1.5</v>
      </c>
      <c r="E6" s="5" t="s">
        <v>123</v>
      </c>
    </row>
    <row r="7" customFormat="false" ht="15" hidden="false" customHeight="false" outlineLevel="0" collapsed="false">
      <c r="A7" s="5" t="s">
        <v>58</v>
      </c>
      <c r="B7" s="5" t="s">
        <v>124</v>
      </c>
      <c r="C7" s="8" t="n">
        <v>46309</v>
      </c>
      <c r="D7" s="21" t="n">
        <v>3</v>
      </c>
      <c r="E7" s="5" t="s">
        <v>125</v>
      </c>
    </row>
    <row r="8" customFormat="false" ht="15" hidden="false" customHeight="false" outlineLevel="0" collapsed="false">
      <c r="A8" s="5" t="s">
        <v>58</v>
      </c>
      <c r="B8" s="5" t="s">
        <v>120</v>
      </c>
      <c r="C8" s="8" t="n">
        <v>46314</v>
      </c>
      <c r="D8" s="21" t="n">
        <v>1</v>
      </c>
      <c r="E8" s="5"/>
    </row>
    <row r="9" customFormat="false" ht="15" hidden="false" customHeight="false" outlineLevel="0" collapsed="false">
      <c r="A9" s="5" t="s">
        <v>58</v>
      </c>
      <c r="B9" s="5" t="s">
        <v>126</v>
      </c>
      <c r="C9" s="8" t="n">
        <v>46314</v>
      </c>
      <c r="D9" s="21" t="n">
        <v>5</v>
      </c>
      <c r="E9" s="5"/>
    </row>
    <row r="10" customFormat="false" ht="15" hidden="false" customHeight="false" outlineLevel="0" collapsed="false">
      <c r="A10" s="5" t="s">
        <v>58</v>
      </c>
      <c r="B10" s="5" t="s">
        <v>127</v>
      </c>
      <c r="C10" s="8" t="n">
        <v>46314</v>
      </c>
      <c r="D10" s="21" t="n">
        <v>1.5</v>
      </c>
      <c r="E10" s="5"/>
    </row>
    <row r="11" customFormat="false" ht="15" hidden="false" customHeight="false" outlineLevel="0" collapsed="false">
      <c r="A11" s="5" t="s">
        <v>58</v>
      </c>
      <c r="B11" s="5" t="s">
        <v>128</v>
      </c>
      <c r="C11" s="8" t="n">
        <v>46314</v>
      </c>
      <c r="D11" s="21" t="n">
        <v>1</v>
      </c>
      <c r="E11" s="5"/>
    </row>
    <row r="12" customFormat="false" ht="15" hidden="false" customHeight="false" outlineLevel="0" collapsed="false">
      <c r="A12" s="5" t="s">
        <v>58</v>
      </c>
      <c r="B12" s="5" t="s">
        <v>129</v>
      </c>
      <c r="C12" s="8" t="n">
        <v>46316</v>
      </c>
      <c r="D12" s="21" t="n">
        <v>1</v>
      </c>
      <c r="E12" s="5" t="s">
        <v>130</v>
      </c>
    </row>
    <row r="13" customFormat="false" ht="15" hidden="false" customHeight="false" outlineLevel="0" collapsed="false">
      <c r="A13" s="5" t="s">
        <v>58</v>
      </c>
      <c r="B13" s="5" t="s">
        <v>129</v>
      </c>
      <c r="C13" s="8" t="n">
        <v>46328</v>
      </c>
      <c r="D13" s="21" t="n">
        <v>0.5</v>
      </c>
      <c r="E13" s="5" t="s">
        <v>131</v>
      </c>
    </row>
    <row r="14" customFormat="false" ht="15" hidden="false" customHeight="false" outlineLevel="0" collapsed="false">
      <c r="A14" s="5"/>
      <c r="B14" s="5"/>
      <c r="C14" s="8"/>
      <c r="D14" s="21"/>
      <c r="E14" s="5"/>
    </row>
    <row r="15" customFormat="false" ht="15" hidden="false" customHeight="false" outlineLevel="0" collapsed="false">
      <c r="A15" s="5"/>
      <c r="B15" s="5"/>
      <c r="C15" s="8"/>
      <c r="D15" s="21"/>
      <c r="E15" s="5"/>
    </row>
    <row r="16" customFormat="false" ht="15" hidden="false" customHeight="false" outlineLevel="0" collapsed="false">
      <c r="A16" s="5"/>
      <c r="B16" s="5"/>
      <c r="C16" s="8"/>
      <c r="D16" s="21"/>
      <c r="E16" s="5"/>
    </row>
    <row r="17" customFormat="false" ht="15" hidden="false" customHeight="false" outlineLevel="0" collapsed="false">
      <c r="A17" s="5"/>
      <c r="B17" s="5"/>
      <c r="C17" s="8"/>
      <c r="D17" s="21"/>
      <c r="E17" s="5"/>
    </row>
    <row r="18" customFormat="false" ht="15" hidden="false" customHeight="false" outlineLevel="0" collapsed="false">
      <c r="A18" s="5"/>
      <c r="B18" s="5"/>
      <c r="C18" s="8"/>
      <c r="D18" s="21"/>
      <c r="E18" s="5"/>
    </row>
    <row r="19" customFormat="false" ht="15" hidden="false" customHeight="false" outlineLevel="0" collapsed="false">
      <c r="A19" s="5"/>
      <c r="B19" s="5"/>
      <c r="C19" s="8"/>
      <c r="D19" s="21"/>
      <c r="E19" s="5"/>
    </row>
    <row r="20" customFormat="false" ht="15" hidden="false" customHeight="false" outlineLevel="0" collapsed="false">
      <c r="A20" s="5"/>
      <c r="B20" s="5"/>
      <c r="C20" s="8"/>
      <c r="D20" s="21"/>
      <c r="E20" s="5"/>
    </row>
    <row r="21" customFormat="false" ht="15" hidden="false" customHeight="false" outlineLevel="0" collapsed="false">
      <c r="A21" s="5"/>
      <c r="B21" s="5"/>
      <c r="C21" s="8"/>
      <c r="D21" s="21"/>
      <c r="E21" s="5"/>
    </row>
    <row r="22" customFormat="false" ht="15" hidden="false" customHeight="false" outlineLevel="0" collapsed="false">
      <c r="A22" s="5"/>
      <c r="B22" s="5"/>
      <c r="C22" s="8"/>
      <c r="D22" s="21"/>
      <c r="E22" s="5"/>
    </row>
    <row r="23" customFormat="false" ht="15" hidden="false" customHeight="false" outlineLevel="0" collapsed="false">
      <c r="A23" s="5"/>
      <c r="B23" s="5"/>
      <c r="C23" s="8"/>
      <c r="D23" s="21"/>
      <c r="E23" s="5"/>
    </row>
    <row r="24" customFormat="false" ht="15" hidden="false" customHeight="false" outlineLevel="0" collapsed="false">
      <c r="A24" s="5"/>
      <c r="B24" s="5"/>
      <c r="C24" s="8"/>
      <c r="D24" s="21"/>
      <c r="E24" s="5"/>
    </row>
    <row r="25" customFormat="false" ht="15" hidden="false" customHeight="false" outlineLevel="0" collapsed="false">
      <c r="A25" s="5"/>
      <c r="B25" s="5"/>
      <c r="C25" s="8"/>
      <c r="D25" s="21"/>
      <c r="E25" s="5"/>
    </row>
    <row r="26" customFormat="false" ht="15" hidden="false" customHeight="false" outlineLevel="0" collapsed="false">
      <c r="A26" s="5"/>
      <c r="B26" s="5"/>
      <c r="C26" s="8"/>
      <c r="D26" s="21"/>
      <c r="E26" s="5"/>
    </row>
    <row r="27" customFormat="false" ht="15" hidden="false" customHeight="false" outlineLevel="0" collapsed="false">
      <c r="A27" s="5"/>
      <c r="B27" s="5"/>
      <c r="C27" s="8"/>
      <c r="D27" s="21"/>
      <c r="E27" s="5"/>
    </row>
    <row r="28" customFormat="false" ht="15" hidden="false" customHeight="false" outlineLevel="0" collapsed="false">
      <c r="A28" s="5"/>
      <c r="B28" s="5"/>
      <c r="C28" s="8"/>
      <c r="D28" s="21"/>
      <c r="E28" s="5"/>
    </row>
    <row r="29" customFormat="false" ht="15" hidden="false" customHeight="false" outlineLevel="0" collapsed="false">
      <c r="A29" s="5"/>
      <c r="B29" s="5"/>
      <c r="C29" s="8"/>
      <c r="D29" s="21"/>
      <c r="E29" s="5"/>
    </row>
    <row r="30" customFormat="false" ht="15" hidden="false" customHeight="false" outlineLevel="0" collapsed="false">
      <c r="A30" s="5"/>
      <c r="B30" s="5"/>
      <c r="C30" s="8"/>
      <c r="D30" s="21"/>
      <c r="E30" s="5"/>
    </row>
    <row r="31" customFormat="false" ht="15" hidden="false" customHeight="false" outlineLevel="0" collapsed="false">
      <c r="A31" s="5"/>
      <c r="B31" s="5"/>
      <c r="C31" s="8"/>
      <c r="D31" s="21"/>
      <c r="E31" s="5"/>
    </row>
    <row r="32" customFormat="false" ht="15" hidden="false" customHeight="false" outlineLevel="0" collapsed="false">
      <c r="A32" s="5"/>
      <c r="B32" s="5"/>
      <c r="C32" s="8"/>
      <c r="D32" s="21"/>
      <c r="E32" s="5"/>
    </row>
    <row r="33" customFormat="false" ht="15" hidden="false" customHeight="false" outlineLevel="0" collapsed="false">
      <c r="A33" s="5"/>
      <c r="B33" s="5"/>
      <c r="C33" s="8"/>
      <c r="D33" s="21"/>
      <c r="E33" s="5"/>
    </row>
    <row r="34" customFormat="false" ht="15" hidden="false" customHeight="false" outlineLevel="0" collapsed="false">
      <c r="A34" s="5"/>
      <c r="B34" s="5"/>
      <c r="C34" s="8"/>
      <c r="D34" s="21"/>
      <c r="E34" s="5"/>
    </row>
    <row r="35" customFormat="false" ht="15" hidden="false" customHeight="false" outlineLevel="0" collapsed="false">
      <c r="A35" s="5"/>
      <c r="B35" s="5"/>
      <c r="C35" s="8"/>
      <c r="D35" s="21"/>
      <c r="E35" s="5"/>
    </row>
    <row r="36" customFormat="false" ht="15" hidden="false" customHeight="false" outlineLevel="0" collapsed="false">
      <c r="A36" s="5"/>
      <c r="B36" s="5"/>
      <c r="C36" s="8"/>
      <c r="D36" s="21"/>
      <c r="E36" s="5"/>
    </row>
    <row r="37" customFormat="false" ht="15" hidden="false" customHeight="false" outlineLevel="0" collapsed="false">
      <c r="A37" s="5"/>
      <c r="B37" s="5"/>
      <c r="C37" s="8"/>
      <c r="D37" s="21"/>
      <c r="E37" s="5"/>
    </row>
    <row r="38" customFormat="false" ht="15" hidden="false" customHeight="false" outlineLevel="0" collapsed="false">
      <c r="A38" s="5"/>
      <c r="B38" s="5"/>
      <c r="C38" s="8"/>
      <c r="D38" s="21"/>
      <c r="E38" s="5"/>
    </row>
    <row r="39" customFormat="false" ht="15" hidden="false" customHeight="false" outlineLevel="0" collapsed="false">
      <c r="A39" s="5"/>
      <c r="B39" s="5"/>
      <c r="C39" s="8"/>
      <c r="D39" s="21"/>
      <c r="E39" s="5"/>
    </row>
    <row r="40" customFormat="false" ht="15" hidden="false" customHeight="false" outlineLevel="0" collapsed="false">
      <c r="A40" s="5"/>
      <c r="B40" s="5"/>
      <c r="C40" s="8"/>
      <c r="D40" s="21"/>
      <c r="E40" s="5"/>
    </row>
    <row r="41" customFormat="false" ht="15" hidden="false" customHeight="false" outlineLevel="0" collapsed="false">
      <c r="A41" s="5"/>
      <c r="B41" s="5"/>
      <c r="C41" s="8"/>
      <c r="D41" s="21"/>
      <c r="E41" s="5"/>
    </row>
    <row r="42" customFormat="false" ht="15" hidden="false" customHeight="false" outlineLevel="0" collapsed="false">
      <c r="A42" s="5"/>
      <c r="B42" s="5"/>
      <c r="C42" s="8"/>
      <c r="D42" s="21"/>
      <c r="E42" s="5"/>
    </row>
    <row r="43" customFormat="false" ht="15" hidden="false" customHeight="false" outlineLevel="0" collapsed="false">
      <c r="A43" s="5"/>
      <c r="B43" s="5"/>
      <c r="C43" s="8"/>
      <c r="D43" s="21"/>
      <c r="E43" s="5"/>
    </row>
    <row r="44" customFormat="false" ht="15" hidden="false" customHeight="false" outlineLevel="0" collapsed="false">
      <c r="A44" s="5"/>
      <c r="B44" s="5"/>
      <c r="C44" s="8"/>
      <c r="D44" s="21"/>
      <c r="E44" s="5"/>
    </row>
    <row r="45" customFormat="false" ht="15" hidden="false" customHeight="false" outlineLevel="0" collapsed="false">
      <c r="A45" s="5"/>
      <c r="B45" s="5"/>
      <c r="C45" s="8"/>
      <c r="D45" s="21"/>
      <c r="E45" s="5"/>
    </row>
    <row r="46" customFormat="false" ht="15" hidden="false" customHeight="false" outlineLevel="0" collapsed="false">
      <c r="A46" s="5"/>
      <c r="B46" s="5"/>
      <c r="C46" s="8"/>
      <c r="D46" s="21"/>
      <c r="E46" s="5"/>
    </row>
    <row r="47" customFormat="false" ht="15" hidden="false" customHeight="false" outlineLevel="0" collapsed="false">
      <c r="A47" s="5"/>
      <c r="B47" s="5"/>
      <c r="C47" s="8"/>
      <c r="D47" s="21"/>
      <c r="E47" s="5"/>
    </row>
    <row r="48" customFormat="false" ht="15" hidden="false" customHeight="false" outlineLevel="0" collapsed="false">
      <c r="A48" s="5"/>
      <c r="B48" s="5"/>
      <c r="C48" s="8"/>
      <c r="D48" s="21"/>
      <c r="E48" s="5"/>
    </row>
    <row r="49" customFormat="false" ht="15" hidden="false" customHeight="false" outlineLevel="0" collapsed="false">
      <c r="A49" s="5"/>
      <c r="B49" s="5"/>
      <c r="C49" s="8"/>
      <c r="D49" s="21"/>
      <c r="E49" s="5"/>
    </row>
    <row r="50" customFormat="false" ht="15" hidden="false" customHeight="false" outlineLevel="0" collapsed="false">
      <c r="A50" s="5"/>
      <c r="B50" s="5"/>
      <c r="C50" s="8"/>
      <c r="D50" s="21"/>
      <c r="E50" s="5"/>
    </row>
    <row r="51" customFormat="false" ht="15" hidden="false" customHeight="false" outlineLevel="0" collapsed="false">
      <c r="A51" s="5"/>
      <c r="B51" s="5"/>
      <c r="C51" s="8"/>
      <c r="D51" s="21"/>
      <c r="E51" s="5"/>
    </row>
    <row r="52" customFormat="false" ht="15" hidden="false" customHeight="false" outlineLevel="0" collapsed="false">
      <c r="A52" s="5"/>
      <c r="B52" s="5"/>
      <c r="C52" s="8"/>
      <c r="D52" s="21"/>
      <c r="E52" s="5"/>
    </row>
    <row r="53" customFormat="false" ht="15" hidden="false" customHeight="false" outlineLevel="0" collapsed="false">
      <c r="A53" s="5"/>
      <c r="B53" s="5"/>
      <c r="C53" s="8"/>
      <c r="D53" s="21"/>
      <c r="E53" s="5"/>
    </row>
    <row r="54" customFormat="false" ht="15" hidden="false" customHeight="false" outlineLevel="0" collapsed="false">
      <c r="A54" s="5"/>
      <c r="B54" s="5"/>
      <c r="C54" s="8"/>
      <c r="D54" s="21"/>
      <c r="E54" s="5"/>
    </row>
    <row r="55" customFormat="false" ht="15" hidden="false" customHeight="false" outlineLevel="0" collapsed="false">
      <c r="A55" s="5"/>
      <c r="B55" s="5"/>
      <c r="C55" s="8"/>
      <c r="D55" s="21"/>
      <c r="E55" s="5"/>
    </row>
    <row r="56" customFormat="false" ht="15" hidden="false" customHeight="false" outlineLevel="0" collapsed="false">
      <c r="A56" s="5"/>
      <c r="B56" s="5"/>
      <c r="C56" s="8"/>
      <c r="D56" s="21"/>
      <c r="E56" s="5"/>
    </row>
    <row r="57" customFormat="false" ht="15" hidden="false" customHeight="false" outlineLevel="0" collapsed="false">
      <c r="A57" s="5"/>
      <c r="B57" s="5"/>
      <c r="C57" s="8"/>
      <c r="D57" s="21"/>
      <c r="E57" s="5"/>
    </row>
    <row r="58" customFormat="false" ht="15" hidden="false" customHeight="false" outlineLevel="0" collapsed="false">
      <c r="A58" s="5"/>
      <c r="B58" s="5"/>
      <c r="C58" s="8"/>
      <c r="D58" s="21"/>
      <c r="E58" s="5"/>
    </row>
    <row r="59" customFormat="false" ht="15" hidden="false" customHeight="false" outlineLevel="0" collapsed="false">
      <c r="A59" s="5"/>
      <c r="B59" s="5"/>
      <c r="C59" s="8"/>
      <c r="D59" s="21"/>
      <c r="E59" s="5"/>
    </row>
    <row r="60" customFormat="false" ht="15" hidden="false" customHeight="false" outlineLevel="0" collapsed="false">
      <c r="A60" s="5"/>
      <c r="B60" s="5"/>
      <c r="C60" s="8"/>
      <c r="D60" s="21"/>
      <c r="E60" s="5"/>
    </row>
    <row r="61" customFormat="false" ht="15" hidden="false" customHeight="false" outlineLevel="0" collapsed="false">
      <c r="A61" s="5"/>
      <c r="B61" s="5"/>
      <c r="C61" s="8"/>
      <c r="D61" s="21"/>
      <c r="E61" s="5"/>
    </row>
    <row r="62" customFormat="false" ht="15" hidden="false" customHeight="false" outlineLevel="0" collapsed="false">
      <c r="A62" s="5"/>
      <c r="B62" s="5"/>
      <c r="C62" s="8"/>
      <c r="D62" s="21"/>
      <c r="E62" s="5"/>
    </row>
    <row r="63" customFormat="false" ht="15" hidden="false" customHeight="false" outlineLevel="0" collapsed="false">
      <c r="A63" s="5"/>
      <c r="B63" s="5"/>
      <c r="C63" s="8"/>
      <c r="D63" s="21"/>
      <c r="E63" s="5"/>
    </row>
    <row r="64" customFormat="false" ht="15" hidden="false" customHeight="false" outlineLevel="0" collapsed="false">
      <c r="A64" s="5"/>
      <c r="B64" s="5"/>
      <c r="C64" s="8"/>
      <c r="D64" s="21"/>
      <c r="E64" s="5"/>
    </row>
    <row r="65" customFormat="false" ht="15" hidden="false" customHeight="false" outlineLevel="0" collapsed="false">
      <c r="A65" s="5"/>
      <c r="B65" s="5"/>
      <c r="C65" s="8"/>
      <c r="D65" s="21"/>
      <c r="E65" s="5"/>
    </row>
    <row r="66" customFormat="false" ht="15" hidden="false" customHeight="false" outlineLevel="0" collapsed="false">
      <c r="A66" s="5"/>
      <c r="B66" s="5"/>
      <c r="C66" s="8"/>
      <c r="D66" s="21"/>
      <c r="E66" s="5"/>
    </row>
    <row r="67" customFormat="false" ht="15" hidden="false" customHeight="false" outlineLevel="0" collapsed="false">
      <c r="A67" s="5"/>
      <c r="B67" s="5"/>
      <c r="C67" s="8"/>
      <c r="D67" s="21"/>
      <c r="E67" s="5"/>
    </row>
    <row r="68" customFormat="false" ht="15" hidden="false" customHeight="false" outlineLevel="0" collapsed="false">
      <c r="A68" s="5"/>
      <c r="B68" s="5"/>
      <c r="C68" s="8"/>
      <c r="D68" s="21"/>
      <c r="E68" s="5"/>
    </row>
    <row r="69" customFormat="false" ht="15" hidden="false" customHeight="false" outlineLevel="0" collapsed="false">
      <c r="A69" s="5"/>
      <c r="B69" s="5"/>
      <c r="C69" s="8"/>
      <c r="D69" s="21"/>
      <c r="E69" s="5"/>
    </row>
    <row r="70" customFormat="false" ht="15" hidden="false" customHeight="false" outlineLevel="0" collapsed="false">
      <c r="A70" s="5"/>
      <c r="B70" s="5"/>
      <c r="C70" s="8"/>
      <c r="D70" s="21"/>
      <c r="E70" s="5"/>
    </row>
    <row r="71" customFormat="false" ht="15" hidden="false" customHeight="false" outlineLevel="0" collapsed="false">
      <c r="A71" s="5"/>
      <c r="B71" s="5"/>
      <c r="C71" s="8"/>
      <c r="D71" s="21"/>
      <c r="E71" s="5"/>
    </row>
    <row r="72" customFormat="false" ht="15" hidden="false" customHeight="false" outlineLevel="0" collapsed="false">
      <c r="A72" s="5"/>
      <c r="B72" s="5"/>
      <c r="C72" s="8"/>
      <c r="D72" s="21"/>
      <c r="E72" s="5"/>
    </row>
    <row r="73" customFormat="false" ht="15" hidden="false" customHeight="false" outlineLevel="0" collapsed="false">
      <c r="A73" s="5"/>
      <c r="B73" s="5"/>
      <c r="C73" s="8"/>
      <c r="D73" s="21"/>
      <c r="E73" s="5"/>
    </row>
    <row r="74" customFormat="false" ht="15" hidden="false" customHeight="false" outlineLevel="0" collapsed="false">
      <c r="A74" s="5"/>
      <c r="B74" s="5"/>
      <c r="C74" s="8"/>
      <c r="D74" s="21"/>
      <c r="E74" s="5"/>
    </row>
    <row r="75" customFormat="false" ht="15" hidden="false" customHeight="false" outlineLevel="0" collapsed="false">
      <c r="A75" s="5"/>
      <c r="B75" s="5"/>
      <c r="C75" s="8"/>
      <c r="D75" s="21"/>
      <c r="E75" s="5"/>
    </row>
    <row r="76" customFormat="false" ht="15" hidden="false" customHeight="false" outlineLevel="0" collapsed="false">
      <c r="A76" s="5"/>
      <c r="B76" s="5"/>
      <c r="C76" s="8"/>
      <c r="D76" s="21"/>
      <c r="E76" s="5"/>
    </row>
    <row r="77" customFormat="false" ht="15" hidden="false" customHeight="false" outlineLevel="0" collapsed="false">
      <c r="A77" s="5"/>
      <c r="B77" s="5"/>
      <c r="C77" s="8"/>
      <c r="D77" s="21"/>
      <c r="E77" s="5"/>
    </row>
    <row r="78" customFormat="false" ht="15" hidden="false" customHeight="false" outlineLevel="0" collapsed="false">
      <c r="A78" s="5"/>
      <c r="B78" s="5"/>
      <c r="C78" s="8"/>
      <c r="D78" s="21"/>
      <c r="E78" s="5"/>
    </row>
    <row r="79" customFormat="false" ht="15" hidden="false" customHeight="false" outlineLevel="0" collapsed="false">
      <c r="A79" s="5"/>
      <c r="B79" s="5"/>
      <c r="C79" s="8"/>
      <c r="D79" s="21"/>
      <c r="E79" s="5"/>
    </row>
    <row r="80" customFormat="false" ht="15" hidden="false" customHeight="false" outlineLevel="0" collapsed="false">
      <c r="A80" s="5"/>
      <c r="B80" s="5"/>
      <c r="C80" s="8"/>
      <c r="D80" s="21"/>
      <c r="E80" s="5"/>
    </row>
    <row r="81" customFormat="false" ht="15" hidden="false" customHeight="false" outlineLevel="0" collapsed="false">
      <c r="A81" s="5"/>
      <c r="B81" s="5"/>
      <c r="C81" s="8"/>
      <c r="D81" s="21"/>
      <c r="E81" s="5"/>
    </row>
    <row r="82" customFormat="false" ht="15" hidden="false" customHeight="false" outlineLevel="0" collapsed="false">
      <c r="A82" s="5"/>
      <c r="B82" s="5"/>
      <c r="C82" s="8"/>
      <c r="D82" s="21"/>
      <c r="E82" s="5"/>
    </row>
    <row r="83" customFormat="false" ht="15" hidden="false" customHeight="false" outlineLevel="0" collapsed="false">
      <c r="A83" s="5"/>
      <c r="B83" s="5"/>
      <c r="C83" s="8"/>
      <c r="D83" s="21"/>
      <c r="E83" s="5"/>
    </row>
    <row r="84" customFormat="false" ht="15" hidden="false" customHeight="false" outlineLevel="0" collapsed="false">
      <c r="A84" s="5"/>
      <c r="B84" s="5"/>
      <c r="C84" s="8"/>
      <c r="D84" s="21"/>
      <c r="E84" s="5"/>
    </row>
    <row r="85" customFormat="false" ht="15" hidden="false" customHeight="false" outlineLevel="0" collapsed="false">
      <c r="A85" s="5"/>
      <c r="B85" s="5"/>
      <c r="C85" s="8"/>
      <c r="D85" s="21"/>
      <c r="E85" s="5"/>
    </row>
    <row r="86" customFormat="false" ht="15" hidden="false" customHeight="false" outlineLevel="0" collapsed="false">
      <c r="A86" s="5"/>
      <c r="B86" s="5"/>
      <c r="C86" s="8"/>
      <c r="D86" s="21"/>
      <c r="E86" s="5"/>
    </row>
    <row r="87" customFormat="false" ht="15" hidden="false" customHeight="false" outlineLevel="0" collapsed="false">
      <c r="A87" s="5"/>
      <c r="B87" s="5"/>
      <c r="C87" s="8"/>
      <c r="D87" s="21"/>
      <c r="E87" s="5"/>
    </row>
    <row r="88" customFormat="false" ht="15" hidden="false" customHeight="false" outlineLevel="0" collapsed="false">
      <c r="A88" s="5"/>
      <c r="B88" s="5"/>
      <c r="C88" s="8"/>
      <c r="D88" s="21"/>
      <c r="E88" s="5"/>
    </row>
    <row r="89" customFormat="false" ht="15" hidden="false" customHeight="false" outlineLevel="0" collapsed="false">
      <c r="A89" s="5"/>
      <c r="B89" s="5"/>
      <c r="C89" s="8"/>
      <c r="D89" s="21"/>
      <c r="E89" s="5"/>
    </row>
    <row r="90" customFormat="false" ht="15" hidden="false" customHeight="false" outlineLevel="0" collapsed="false">
      <c r="A90" s="5"/>
      <c r="B90" s="5"/>
      <c r="C90" s="8"/>
      <c r="D90" s="21"/>
      <c r="E90" s="5"/>
    </row>
    <row r="91" customFormat="false" ht="15" hidden="false" customHeight="false" outlineLevel="0" collapsed="false">
      <c r="A91" s="5"/>
      <c r="B91" s="5"/>
      <c r="C91" s="8"/>
      <c r="D91" s="21"/>
      <c r="E91" s="5"/>
    </row>
    <row r="92" customFormat="false" ht="15" hidden="false" customHeight="false" outlineLevel="0" collapsed="false">
      <c r="A92" s="5"/>
      <c r="B92" s="5"/>
      <c r="C92" s="8"/>
      <c r="D92" s="21"/>
      <c r="E92" s="5"/>
    </row>
    <row r="93" customFormat="false" ht="15" hidden="false" customHeight="false" outlineLevel="0" collapsed="false">
      <c r="A93" s="5"/>
      <c r="B93" s="5"/>
      <c r="C93" s="8"/>
      <c r="D93" s="21"/>
      <c r="E93" s="5"/>
    </row>
    <row r="94" customFormat="false" ht="15" hidden="false" customHeight="false" outlineLevel="0" collapsed="false">
      <c r="A94" s="5"/>
      <c r="B94" s="5"/>
      <c r="C94" s="8"/>
      <c r="D94" s="21"/>
      <c r="E94" s="5"/>
    </row>
    <row r="95" customFormat="false" ht="15" hidden="false" customHeight="false" outlineLevel="0" collapsed="false">
      <c r="A95" s="5"/>
      <c r="B95" s="5"/>
      <c r="C95" s="8"/>
      <c r="D95" s="21"/>
      <c r="E95" s="5"/>
    </row>
    <row r="96" customFormat="false" ht="15" hidden="false" customHeight="false" outlineLevel="0" collapsed="false">
      <c r="A96" s="5"/>
      <c r="B96" s="5"/>
      <c r="C96" s="8"/>
      <c r="D96" s="21"/>
      <c r="E96" s="5"/>
    </row>
    <row r="97" customFormat="false" ht="15" hidden="false" customHeight="false" outlineLevel="0" collapsed="false">
      <c r="A97" s="5"/>
      <c r="B97" s="5"/>
      <c r="C97" s="8"/>
      <c r="D97" s="21"/>
      <c r="E97" s="5"/>
    </row>
    <row r="98" customFormat="false" ht="15" hidden="false" customHeight="false" outlineLevel="0" collapsed="false">
      <c r="A98" s="5"/>
      <c r="B98" s="5"/>
      <c r="C98" s="8"/>
      <c r="D98" s="21"/>
      <c r="E98" s="5"/>
    </row>
    <row r="99" customFormat="false" ht="15" hidden="false" customHeight="false" outlineLevel="0" collapsed="false">
      <c r="A99" s="5"/>
      <c r="B99" s="5"/>
      <c r="C99" s="8"/>
      <c r="D99" s="21"/>
      <c r="E99" s="5"/>
    </row>
    <row r="100" customFormat="false" ht="15" hidden="false" customHeight="false" outlineLevel="0" collapsed="false">
      <c r="A100" s="5"/>
      <c r="B100" s="5"/>
      <c r="C100" s="8"/>
      <c r="D100" s="21"/>
      <c r="E100" s="5"/>
    </row>
    <row r="101" customFormat="false" ht="15" hidden="false" customHeight="false" outlineLevel="0" collapsed="false">
      <c r="A101" s="5"/>
      <c r="B101" s="5"/>
      <c r="C101" s="8"/>
      <c r="D101" s="21"/>
      <c r="E101" s="5"/>
    </row>
  </sheetData>
  <dataValidations count="1">
    <dataValidation allowBlank="true" errorStyle="stop" operator="between" showDropDown="false" showErrorMessage="false" showInputMessage="false" sqref="B2:B101" type="list">
      <formula1>"פגישת מכירה,סקר בית,הצעה וחתימה,הכנה אצל גיא,עבודת חשמל (ליווי),נסיעות,התקנה ורשת,בדיקות קבלה,מסירה והדרכה,תמיכה (ריטיינר)"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39.75" hidden="false" customHeight="true" outlineLevel="0" collapsed="false">
      <c r="A1" s="4" t="s">
        <v>132</v>
      </c>
      <c r="B1" s="4" t="s">
        <v>19</v>
      </c>
      <c r="C1" s="4" t="s">
        <v>133</v>
      </c>
      <c r="D1" s="4" t="s">
        <v>134</v>
      </c>
      <c r="E1" s="4" t="s">
        <v>135</v>
      </c>
      <c r="F1" s="4" t="s">
        <v>37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57</v>
      </c>
    </row>
    <row r="2" customFormat="false" ht="23.85" hidden="false" customHeight="false" outlineLevel="0" collapsed="false">
      <c r="A2" s="5" t="s">
        <v>141</v>
      </c>
      <c r="B2" s="5" t="s">
        <v>58</v>
      </c>
      <c r="C2" s="22" t="n">
        <v>46316.3819444445</v>
      </c>
      <c r="D2" s="5" t="s">
        <v>142</v>
      </c>
      <c r="E2" s="5" t="s">
        <v>143</v>
      </c>
      <c r="F2" s="5" t="s">
        <v>144</v>
      </c>
      <c r="G2" s="22" t="n">
        <v>46316.4027777778</v>
      </c>
      <c r="H2" s="22" t="n">
        <v>46316.4861111111</v>
      </c>
      <c r="I2" s="13" t="n">
        <f aca="false">IF(OR($C2="",$H2=""),"",ROUND(($H2-$C2)*24,1))</f>
        <v>2.5</v>
      </c>
      <c r="J2" s="23" t="n">
        <f aca="false">IF(OR($C2="",$E2="",$E2="בקשה"),"",WORKDAY.INTL(INT($C2),IF($E2="קריטי",1,3),7)+1-1/1440)</f>
        <v>46317.9993055556</v>
      </c>
      <c r="K2" s="9" t="str">
        <f aca="false">IF($J2="","",IF($G2="","טרם נענה",IF($G2&lt;=$J2,"✓","✗")))</f>
        <v>✓</v>
      </c>
      <c r="L2" s="5" t="s">
        <v>145</v>
      </c>
    </row>
    <row r="3" customFormat="false" ht="15" hidden="false" customHeight="false" outlineLevel="0" collapsed="false">
      <c r="A3" s="5" t="s">
        <v>146</v>
      </c>
      <c r="B3" s="5" t="s">
        <v>58</v>
      </c>
      <c r="C3" s="22" t="n">
        <v>46328.75</v>
      </c>
      <c r="D3" s="5" t="s">
        <v>147</v>
      </c>
      <c r="E3" s="5" t="s">
        <v>148</v>
      </c>
      <c r="F3" s="5" t="s">
        <v>149</v>
      </c>
      <c r="G3" s="22"/>
      <c r="H3" s="22"/>
      <c r="I3" s="13" t="str">
        <f aca="false">IF(OR($C3="",$H3=""),"",ROUND(($H3-$C3)*24,1))</f>
        <v/>
      </c>
      <c r="J3" s="23" t="str">
        <f aca="false">IF(OR($C3="",$E3="",$E3="בקשה"),"",WORKDAY.INTL(INT($C3),IF($E3="קריטי",1,3),7)+1-1/1440)</f>
        <v/>
      </c>
      <c r="K3" s="9" t="str">
        <f aca="false">IF($J3="","",IF($G3="","טרם נענה",IF($G3&lt;=$J3,"✓","✗")))</f>
        <v/>
      </c>
      <c r="L3" s="5" t="s">
        <v>150</v>
      </c>
    </row>
    <row r="4" customFormat="false" ht="15" hidden="false" customHeight="false" outlineLevel="0" collapsed="false">
      <c r="A4" s="5"/>
      <c r="B4" s="5"/>
      <c r="C4" s="22"/>
      <c r="D4" s="5"/>
      <c r="E4" s="5"/>
      <c r="F4" s="5"/>
      <c r="G4" s="22"/>
      <c r="H4" s="22"/>
      <c r="I4" s="13" t="str">
        <f aca="false">IF(OR($C4="",$H4=""),"",ROUND(($H4-$C4)*24,1))</f>
        <v/>
      </c>
      <c r="J4" s="23" t="str">
        <f aca="false">IF(OR($C4="",$E4="",$E4="בקשה"),"",WORKDAY.INTL(INT($C4),IF($E4="קריטי",1,3),7)+1-1/1440)</f>
        <v/>
      </c>
      <c r="K4" s="9" t="str">
        <f aca="false">IF($J4="","",IF($G4="","טרם נענה",IF($G4&lt;=$J4,"✓","✗")))</f>
        <v/>
      </c>
      <c r="L4" s="5"/>
    </row>
    <row r="5" customFormat="false" ht="15" hidden="false" customHeight="false" outlineLevel="0" collapsed="false">
      <c r="A5" s="5"/>
      <c r="B5" s="5"/>
      <c r="C5" s="22"/>
      <c r="D5" s="5"/>
      <c r="E5" s="5"/>
      <c r="F5" s="5"/>
      <c r="G5" s="22"/>
      <c r="H5" s="22"/>
      <c r="I5" s="13" t="str">
        <f aca="false">IF(OR($C5="",$H5=""),"",ROUND(($H5-$C5)*24,1))</f>
        <v/>
      </c>
      <c r="J5" s="23" t="str">
        <f aca="false">IF(OR($C5="",$E5="",$E5="בקשה"),"",WORKDAY.INTL(INT($C5),IF($E5="קריטי",1,3),7)+1-1/1440)</f>
        <v/>
      </c>
      <c r="K5" s="9" t="str">
        <f aca="false">IF($J5="","",IF($G5="","טרם נענה",IF($G5&lt;=$J5,"✓","✗")))</f>
        <v/>
      </c>
      <c r="L5" s="5"/>
    </row>
    <row r="6" customFormat="false" ht="15" hidden="false" customHeight="false" outlineLevel="0" collapsed="false">
      <c r="A6" s="5"/>
      <c r="B6" s="5"/>
      <c r="C6" s="22"/>
      <c r="D6" s="5"/>
      <c r="E6" s="5"/>
      <c r="F6" s="5"/>
      <c r="G6" s="22"/>
      <c r="H6" s="22"/>
      <c r="I6" s="13" t="str">
        <f aca="false">IF(OR($C6="",$H6=""),"",ROUND(($H6-$C6)*24,1))</f>
        <v/>
      </c>
      <c r="J6" s="23" t="str">
        <f aca="false">IF(OR($C6="",$E6="",$E6="בקשה"),"",WORKDAY.INTL(INT($C6),IF($E6="קריטי",1,3),7)+1-1/1440)</f>
        <v/>
      </c>
      <c r="K6" s="9" t="str">
        <f aca="false">IF($J6="","",IF($G6="","טרם נענה",IF($G6&lt;=$J6,"✓","✗")))</f>
        <v/>
      </c>
      <c r="L6" s="5"/>
    </row>
    <row r="7" customFormat="false" ht="15" hidden="false" customHeight="false" outlineLevel="0" collapsed="false">
      <c r="A7" s="5"/>
      <c r="B7" s="5"/>
      <c r="C7" s="22"/>
      <c r="D7" s="5"/>
      <c r="E7" s="5"/>
      <c r="F7" s="5"/>
      <c r="G7" s="22"/>
      <c r="H7" s="22"/>
      <c r="I7" s="13" t="str">
        <f aca="false">IF(OR($C7="",$H7=""),"",ROUND(($H7-$C7)*24,1))</f>
        <v/>
      </c>
      <c r="J7" s="23" t="str">
        <f aca="false">IF(OR($C7="",$E7="",$E7="בקשה"),"",WORKDAY.INTL(INT($C7),IF($E7="קריטי",1,3),7)+1-1/1440)</f>
        <v/>
      </c>
      <c r="K7" s="9" t="str">
        <f aca="false">IF($J7="","",IF($G7="","טרם נענה",IF($G7&lt;=$J7,"✓","✗")))</f>
        <v/>
      </c>
      <c r="L7" s="5"/>
    </row>
    <row r="8" customFormat="false" ht="15" hidden="false" customHeight="false" outlineLevel="0" collapsed="false">
      <c r="A8" s="5"/>
      <c r="B8" s="5"/>
      <c r="C8" s="22"/>
      <c r="D8" s="5"/>
      <c r="E8" s="5"/>
      <c r="F8" s="5"/>
      <c r="G8" s="22"/>
      <c r="H8" s="22"/>
      <c r="I8" s="13" t="str">
        <f aca="false">IF(OR($C8="",$H8=""),"",ROUND(($H8-$C8)*24,1))</f>
        <v/>
      </c>
      <c r="J8" s="23" t="str">
        <f aca="false">IF(OR($C8="",$E8="",$E8="בקשה"),"",WORKDAY.INTL(INT($C8),IF($E8="קריטי",1,3),7)+1-1/1440)</f>
        <v/>
      </c>
      <c r="K8" s="9" t="str">
        <f aca="false">IF($J8="","",IF($G8="","טרם נענה",IF($G8&lt;=$J8,"✓","✗")))</f>
        <v/>
      </c>
      <c r="L8" s="5"/>
    </row>
    <row r="9" customFormat="false" ht="15" hidden="false" customHeight="false" outlineLevel="0" collapsed="false">
      <c r="A9" s="5"/>
      <c r="B9" s="5"/>
      <c r="C9" s="22"/>
      <c r="D9" s="5"/>
      <c r="E9" s="5"/>
      <c r="F9" s="5"/>
      <c r="G9" s="22"/>
      <c r="H9" s="22"/>
      <c r="I9" s="13" t="str">
        <f aca="false">IF(OR($C9="",$H9=""),"",ROUND(($H9-$C9)*24,1))</f>
        <v/>
      </c>
      <c r="J9" s="23" t="str">
        <f aca="false">IF(OR($C9="",$E9="",$E9="בקשה"),"",WORKDAY.INTL(INT($C9),IF($E9="קריטי",1,3),7)+1-1/1440)</f>
        <v/>
      </c>
      <c r="K9" s="9" t="str">
        <f aca="false">IF($J9="","",IF($G9="","טרם נענה",IF($G9&lt;=$J9,"✓","✗")))</f>
        <v/>
      </c>
      <c r="L9" s="5"/>
    </row>
    <row r="10" customFormat="false" ht="15" hidden="false" customHeight="false" outlineLevel="0" collapsed="false">
      <c r="A10" s="5"/>
      <c r="B10" s="5"/>
      <c r="C10" s="22"/>
      <c r="D10" s="5"/>
      <c r="E10" s="5"/>
      <c r="F10" s="5"/>
      <c r="G10" s="22"/>
      <c r="H10" s="22"/>
      <c r="I10" s="13" t="str">
        <f aca="false">IF(OR($C10="",$H10=""),"",ROUND(($H10-$C10)*24,1))</f>
        <v/>
      </c>
      <c r="J10" s="23" t="str">
        <f aca="false">IF(OR($C10="",$E10="",$E10="בקשה"),"",WORKDAY.INTL(INT($C10),IF($E10="קריטי",1,3),7)+1-1/1440)</f>
        <v/>
      </c>
      <c r="K10" s="9" t="str">
        <f aca="false">IF($J10="","",IF($G10="","טרם נענה",IF($G10&lt;=$J10,"✓","✗")))</f>
        <v/>
      </c>
      <c r="L10" s="5"/>
    </row>
    <row r="11" customFormat="false" ht="15" hidden="false" customHeight="false" outlineLevel="0" collapsed="false">
      <c r="A11" s="5"/>
      <c r="B11" s="5"/>
      <c r="C11" s="22"/>
      <c r="D11" s="5"/>
      <c r="E11" s="5"/>
      <c r="F11" s="5"/>
      <c r="G11" s="22"/>
      <c r="H11" s="22"/>
      <c r="I11" s="13" t="str">
        <f aca="false">IF(OR($C11="",$H11=""),"",ROUND(($H11-$C11)*24,1))</f>
        <v/>
      </c>
      <c r="J11" s="23" t="str">
        <f aca="false">IF(OR($C11="",$E11="",$E11="בקשה"),"",WORKDAY.INTL(INT($C11),IF($E11="קריטי",1,3),7)+1-1/1440)</f>
        <v/>
      </c>
      <c r="K11" s="9" t="str">
        <f aca="false">IF($J11="","",IF($G11="","טרם נענה",IF($G11&lt;=$J11,"✓","✗")))</f>
        <v/>
      </c>
      <c r="L11" s="5"/>
    </row>
    <row r="12" customFormat="false" ht="15" hidden="false" customHeight="false" outlineLevel="0" collapsed="false">
      <c r="A12" s="5"/>
      <c r="B12" s="5"/>
      <c r="C12" s="22"/>
      <c r="D12" s="5"/>
      <c r="E12" s="5"/>
      <c r="F12" s="5"/>
      <c r="G12" s="22"/>
      <c r="H12" s="22"/>
      <c r="I12" s="13" t="str">
        <f aca="false">IF(OR($C12="",$H12=""),"",ROUND(($H12-$C12)*24,1))</f>
        <v/>
      </c>
      <c r="J12" s="23" t="str">
        <f aca="false">IF(OR($C12="",$E12="",$E12="בקשה"),"",WORKDAY.INTL(INT($C12),IF($E12="קריטי",1,3),7)+1-1/1440)</f>
        <v/>
      </c>
      <c r="K12" s="9" t="str">
        <f aca="false">IF($J12="","",IF($G12="","טרם נענה",IF($G12&lt;=$J12,"✓","✗")))</f>
        <v/>
      </c>
      <c r="L12" s="5"/>
    </row>
    <row r="13" customFormat="false" ht="15" hidden="false" customHeight="false" outlineLevel="0" collapsed="false">
      <c r="A13" s="5"/>
      <c r="B13" s="5"/>
      <c r="C13" s="22"/>
      <c r="D13" s="5"/>
      <c r="E13" s="5"/>
      <c r="F13" s="5"/>
      <c r="G13" s="22"/>
      <c r="H13" s="22"/>
      <c r="I13" s="13" t="str">
        <f aca="false">IF(OR($C13="",$H13=""),"",ROUND(($H13-$C13)*24,1))</f>
        <v/>
      </c>
      <c r="J13" s="23" t="str">
        <f aca="false">IF(OR($C13="",$E13="",$E13="בקשה"),"",WORKDAY.INTL(INT($C13),IF($E13="קריטי",1,3),7)+1-1/1440)</f>
        <v/>
      </c>
      <c r="K13" s="9" t="str">
        <f aca="false">IF($J13="","",IF($G13="","טרם נענה",IF($G13&lt;=$J13,"✓","✗")))</f>
        <v/>
      </c>
      <c r="L13" s="5"/>
    </row>
    <row r="14" customFormat="false" ht="15" hidden="false" customHeight="false" outlineLevel="0" collapsed="false">
      <c r="A14" s="5"/>
      <c r="B14" s="5"/>
      <c r="C14" s="22"/>
      <c r="D14" s="5"/>
      <c r="E14" s="5"/>
      <c r="F14" s="5"/>
      <c r="G14" s="22"/>
      <c r="H14" s="22"/>
      <c r="I14" s="13" t="str">
        <f aca="false">IF(OR($C14="",$H14=""),"",ROUND(($H14-$C14)*24,1))</f>
        <v/>
      </c>
      <c r="J14" s="23" t="str">
        <f aca="false">IF(OR($C14="",$E14="",$E14="בקשה"),"",WORKDAY.INTL(INT($C14),IF($E14="קריטי",1,3),7)+1-1/1440)</f>
        <v/>
      </c>
      <c r="K14" s="9" t="str">
        <f aca="false">IF($J14="","",IF($G14="","טרם נענה",IF($G14&lt;=$J14,"✓","✗")))</f>
        <v/>
      </c>
      <c r="L14" s="5"/>
    </row>
    <row r="15" customFormat="false" ht="15" hidden="false" customHeight="false" outlineLevel="0" collapsed="false">
      <c r="A15" s="5"/>
      <c r="B15" s="5"/>
      <c r="C15" s="22"/>
      <c r="D15" s="5"/>
      <c r="E15" s="5"/>
      <c r="F15" s="5"/>
      <c r="G15" s="22"/>
      <c r="H15" s="22"/>
      <c r="I15" s="13" t="str">
        <f aca="false">IF(OR($C15="",$H15=""),"",ROUND(($H15-$C15)*24,1))</f>
        <v/>
      </c>
      <c r="J15" s="23" t="str">
        <f aca="false">IF(OR($C15="",$E15="",$E15="בקשה"),"",WORKDAY.INTL(INT($C15),IF($E15="קריטי",1,3),7)+1-1/1440)</f>
        <v/>
      </c>
      <c r="K15" s="9" t="str">
        <f aca="false">IF($J15="","",IF($G15="","טרם נענה",IF($G15&lt;=$J15,"✓","✗")))</f>
        <v/>
      </c>
      <c r="L15" s="5"/>
    </row>
    <row r="16" customFormat="false" ht="15" hidden="false" customHeight="false" outlineLevel="0" collapsed="false">
      <c r="A16" s="5"/>
      <c r="B16" s="5"/>
      <c r="C16" s="22"/>
      <c r="D16" s="5"/>
      <c r="E16" s="5"/>
      <c r="F16" s="5"/>
      <c r="G16" s="22"/>
      <c r="H16" s="22"/>
      <c r="I16" s="13" t="str">
        <f aca="false">IF(OR($C16="",$H16=""),"",ROUND(($H16-$C16)*24,1))</f>
        <v/>
      </c>
      <c r="J16" s="23" t="str">
        <f aca="false">IF(OR($C16="",$E16="",$E16="בקשה"),"",WORKDAY.INTL(INT($C16),IF($E16="קריטי",1,3),7)+1-1/1440)</f>
        <v/>
      </c>
      <c r="K16" s="9" t="str">
        <f aca="false">IF($J16="","",IF($G16="","טרם נענה",IF($G16&lt;=$J16,"✓","✗")))</f>
        <v/>
      </c>
      <c r="L16" s="5"/>
    </row>
    <row r="17" customFormat="false" ht="15" hidden="false" customHeight="false" outlineLevel="0" collapsed="false">
      <c r="A17" s="5"/>
      <c r="B17" s="5"/>
      <c r="C17" s="22"/>
      <c r="D17" s="5"/>
      <c r="E17" s="5"/>
      <c r="F17" s="5"/>
      <c r="G17" s="22"/>
      <c r="H17" s="22"/>
      <c r="I17" s="13" t="str">
        <f aca="false">IF(OR($C17="",$H17=""),"",ROUND(($H17-$C17)*24,1))</f>
        <v/>
      </c>
      <c r="J17" s="23" t="str">
        <f aca="false">IF(OR($C17="",$E17="",$E17="בקשה"),"",WORKDAY.INTL(INT($C17),IF($E17="קריטי",1,3),7)+1-1/1440)</f>
        <v/>
      </c>
      <c r="K17" s="9" t="str">
        <f aca="false">IF($J17="","",IF($G17="","טרם נענה",IF($G17&lt;=$J17,"✓","✗")))</f>
        <v/>
      </c>
      <c r="L17" s="5"/>
    </row>
    <row r="18" customFormat="false" ht="15" hidden="false" customHeight="false" outlineLevel="0" collapsed="false">
      <c r="A18" s="5"/>
      <c r="B18" s="5"/>
      <c r="C18" s="22"/>
      <c r="D18" s="5"/>
      <c r="E18" s="5"/>
      <c r="F18" s="5"/>
      <c r="G18" s="22"/>
      <c r="H18" s="22"/>
      <c r="I18" s="13" t="str">
        <f aca="false">IF(OR($C18="",$H18=""),"",ROUND(($H18-$C18)*24,1))</f>
        <v/>
      </c>
      <c r="J18" s="23" t="str">
        <f aca="false">IF(OR($C18="",$E18="",$E18="בקשה"),"",WORKDAY.INTL(INT($C18),IF($E18="קריטי",1,3),7)+1-1/1440)</f>
        <v/>
      </c>
      <c r="K18" s="9" t="str">
        <f aca="false">IF($J18="","",IF($G18="","טרם נענה",IF($G18&lt;=$J18,"✓","✗")))</f>
        <v/>
      </c>
      <c r="L18" s="5"/>
    </row>
    <row r="19" customFormat="false" ht="15" hidden="false" customHeight="false" outlineLevel="0" collapsed="false">
      <c r="A19" s="5"/>
      <c r="B19" s="5"/>
      <c r="C19" s="22"/>
      <c r="D19" s="5"/>
      <c r="E19" s="5"/>
      <c r="F19" s="5"/>
      <c r="G19" s="22"/>
      <c r="H19" s="22"/>
      <c r="I19" s="13" t="str">
        <f aca="false">IF(OR($C19="",$H19=""),"",ROUND(($H19-$C19)*24,1))</f>
        <v/>
      </c>
      <c r="J19" s="23" t="str">
        <f aca="false">IF(OR($C19="",$E19="",$E19="בקשה"),"",WORKDAY.INTL(INT($C19),IF($E19="קריטי",1,3),7)+1-1/1440)</f>
        <v/>
      </c>
      <c r="K19" s="9" t="str">
        <f aca="false">IF($J19="","",IF($G19="","טרם נענה",IF($G19&lt;=$J19,"✓","✗")))</f>
        <v/>
      </c>
      <c r="L19" s="5"/>
    </row>
    <row r="20" customFormat="false" ht="15" hidden="false" customHeight="false" outlineLevel="0" collapsed="false">
      <c r="A20" s="5"/>
      <c r="B20" s="5"/>
      <c r="C20" s="22"/>
      <c r="D20" s="5"/>
      <c r="E20" s="5"/>
      <c r="F20" s="5"/>
      <c r="G20" s="22"/>
      <c r="H20" s="22"/>
      <c r="I20" s="13" t="str">
        <f aca="false">IF(OR($C20="",$H20=""),"",ROUND(($H20-$C20)*24,1))</f>
        <v/>
      </c>
      <c r="J20" s="23" t="str">
        <f aca="false">IF(OR($C20="",$E20="",$E20="בקשה"),"",WORKDAY.INTL(INT($C20),IF($E20="קריטי",1,3),7)+1-1/1440)</f>
        <v/>
      </c>
      <c r="K20" s="9" t="str">
        <f aca="false">IF($J20="","",IF($G20="","טרם נענה",IF($G20&lt;=$J20,"✓","✗")))</f>
        <v/>
      </c>
      <c r="L20" s="5"/>
    </row>
    <row r="21" customFormat="false" ht="15" hidden="false" customHeight="false" outlineLevel="0" collapsed="false">
      <c r="A21" s="5"/>
      <c r="B21" s="5"/>
      <c r="C21" s="22"/>
      <c r="D21" s="5"/>
      <c r="E21" s="5"/>
      <c r="F21" s="5"/>
      <c r="G21" s="22"/>
      <c r="H21" s="22"/>
      <c r="I21" s="13" t="str">
        <f aca="false">IF(OR($C21="",$H21=""),"",ROUND(($H21-$C21)*24,1))</f>
        <v/>
      </c>
      <c r="J21" s="23" t="str">
        <f aca="false">IF(OR($C21="",$E21="",$E21="בקשה"),"",WORKDAY.INTL(INT($C21),IF($E21="קריטי",1,3),7)+1-1/1440)</f>
        <v/>
      </c>
      <c r="K21" s="9" t="str">
        <f aca="false">IF($J21="","",IF($G21="","טרם נענה",IF($G21&lt;=$J21,"✓","✗")))</f>
        <v/>
      </c>
      <c r="L21" s="5"/>
    </row>
    <row r="22" customFormat="false" ht="15" hidden="false" customHeight="false" outlineLevel="0" collapsed="false">
      <c r="A22" s="5"/>
      <c r="B22" s="5"/>
      <c r="C22" s="22"/>
      <c r="D22" s="5"/>
      <c r="E22" s="5"/>
      <c r="F22" s="5"/>
      <c r="G22" s="22"/>
      <c r="H22" s="22"/>
      <c r="I22" s="13" t="str">
        <f aca="false">IF(OR($C22="",$H22=""),"",ROUND(($H22-$C22)*24,1))</f>
        <v/>
      </c>
      <c r="J22" s="23" t="str">
        <f aca="false">IF(OR($C22="",$E22="",$E22="בקשה"),"",WORKDAY.INTL(INT($C22),IF($E22="קריטי",1,3),7)+1-1/1440)</f>
        <v/>
      </c>
      <c r="K22" s="9" t="str">
        <f aca="false">IF($J22="","",IF($G22="","טרם נענה",IF($G22&lt;=$J22,"✓","✗")))</f>
        <v/>
      </c>
      <c r="L22" s="5"/>
    </row>
    <row r="23" customFormat="false" ht="15" hidden="false" customHeight="false" outlineLevel="0" collapsed="false">
      <c r="A23" s="5"/>
      <c r="B23" s="5"/>
      <c r="C23" s="22"/>
      <c r="D23" s="5"/>
      <c r="E23" s="5"/>
      <c r="F23" s="5"/>
      <c r="G23" s="22"/>
      <c r="H23" s="22"/>
      <c r="I23" s="13" t="str">
        <f aca="false">IF(OR($C23="",$H23=""),"",ROUND(($H23-$C23)*24,1))</f>
        <v/>
      </c>
      <c r="J23" s="23" t="str">
        <f aca="false">IF(OR($C23="",$E23="",$E23="בקשה"),"",WORKDAY.INTL(INT($C23),IF($E23="קריטי",1,3),7)+1-1/1440)</f>
        <v/>
      </c>
      <c r="K23" s="9" t="str">
        <f aca="false">IF($J23="","",IF($G23="","טרם נענה",IF($G23&lt;=$J23,"✓","✗")))</f>
        <v/>
      </c>
      <c r="L23" s="5"/>
    </row>
    <row r="24" customFormat="false" ht="15" hidden="false" customHeight="false" outlineLevel="0" collapsed="false">
      <c r="A24" s="5"/>
      <c r="B24" s="5"/>
      <c r="C24" s="22"/>
      <c r="D24" s="5"/>
      <c r="E24" s="5"/>
      <c r="F24" s="5"/>
      <c r="G24" s="22"/>
      <c r="H24" s="22"/>
      <c r="I24" s="13" t="str">
        <f aca="false">IF(OR($C24="",$H24=""),"",ROUND(($H24-$C24)*24,1))</f>
        <v/>
      </c>
      <c r="J24" s="23" t="str">
        <f aca="false">IF(OR($C24="",$E24="",$E24="בקשה"),"",WORKDAY.INTL(INT($C24),IF($E24="קריטי",1,3),7)+1-1/1440)</f>
        <v/>
      </c>
      <c r="K24" s="9" t="str">
        <f aca="false">IF($J24="","",IF($G24="","טרם נענה",IF($G24&lt;=$J24,"✓","✗")))</f>
        <v/>
      </c>
      <c r="L24" s="5"/>
    </row>
    <row r="25" customFormat="false" ht="15" hidden="false" customHeight="false" outlineLevel="0" collapsed="false">
      <c r="A25" s="5"/>
      <c r="B25" s="5"/>
      <c r="C25" s="22"/>
      <c r="D25" s="5"/>
      <c r="E25" s="5"/>
      <c r="F25" s="5"/>
      <c r="G25" s="22"/>
      <c r="H25" s="22"/>
      <c r="I25" s="13" t="str">
        <f aca="false">IF(OR($C25="",$H25=""),"",ROUND(($H25-$C25)*24,1))</f>
        <v/>
      </c>
      <c r="J25" s="23" t="str">
        <f aca="false">IF(OR($C25="",$E25="",$E25="בקשה"),"",WORKDAY.INTL(INT($C25),IF($E25="קריטי",1,3),7)+1-1/1440)</f>
        <v/>
      </c>
      <c r="K25" s="9" t="str">
        <f aca="false">IF($J25="","",IF($G25="","טרם נענה",IF($G25&lt;=$J25,"✓","✗")))</f>
        <v/>
      </c>
      <c r="L25" s="5"/>
    </row>
    <row r="26" customFormat="false" ht="15" hidden="false" customHeight="false" outlineLevel="0" collapsed="false">
      <c r="A26" s="5"/>
      <c r="B26" s="5"/>
      <c r="C26" s="22"/>
      <c r="D26" s="5"/>
      <c r="E26" s="5"/>
      <c r="F26" s="5"/>
      <c r="G26" s="22"/>
      <c r="H26" s="22"/>
      <c r="I26" s="13" t="str">
        <f aca="false">IF(OR($C26="",$H26=""),"",ROUND(($H26-$C26)*24,1))</f>
        <v/>
      </c>
      <c r="J26" s="23" t="str">
        <f aca="false">IF(OR($C26="",$E26="",$E26="בקשה"),"",WORKDAY.INTL(INT($C26),IF($E26="קריטי",1,3),7)+1-1/1440)</f>
        <v/>
      </c>
      <c r="K26" s="9" t="str">
        <f aca="false">IF($J26="","",IF($G26="","טרם נענה",IF($G26&lt;=$J26,"✓","✗")))</f>
        <v/>
      </c>
      <c r="L26" s="5"/>
    </row>
    <row r="27" customFormat="false" ht="15" hidden="false" customHeight="false" outlineLevel="0" collapsed="false">
      <c r="A27" s="5"/>
      <c r="B27" s="5"/>
      <c r="C27" s="22"/>
      <c r="D27" s="5"/>
      <c r="E27" s="5"/>
      <c r="F27" s="5"/>
      <c r="G27" s="22"/>
      <c r="H27" s="22"/>
      <c r="I27" s="13" t="str">
        <f aca="false">IF(OR($C27="",$H27=""),"",ROUND(($H27-$C27)*24,1))</f>
        <v/>
      </c>
      <c r="J27" s="23" t="str">
        <f aca="false">IF(OR($C27="",$E27="",$E27="בקשה"),"",WORKDAY.INTL(INT($C27),IF($E27="קריטי",1,3),7)+1-1/1440)</f>
        <v/>
      </c>
      <c r="K27" s="9" t="str">
        <f aca="false">IF($J27="","",IF($G27="","טרם נענה",IF($G27&lt;=$J27,"✓","✗")))</f>
        <v/>
      </c>
      <c r="L27" s="5"/>
    </row>
    <row r="28" customFormat="false" ht="15" hidden="false" customHeight="false" outlineLevel="0" collapsed="false">
      <c r="A28" s="5"/>
      <c r="B28" s="5"/>
      <c r="C28" s="22"/>
      <c r="D28" s="5"/>
      <c r="E28" s="5"/>
      <c r="F28" s="5"/>
      <c r="G28" s="22"/>
      <c r="H28" s="22"/>
      <c r="I28" s="13" t="str">
        <f aca="false">IF(OR($C28="",$H28=""),"",ROUND(($H28-$C28)*24,1))</f>
        <v/>
      </c>
      <c r="J28" s="23" t="str">
        <f aca="false">IF(OR($C28="",$E28="",$E28="בקשה"),"",WORKDAY.INTL(INT($C28),IF($E28="קריטי",1,3),7)+1-1/1440)</f>
        <v/>
      </c>
      <c r="K28" s="9" t="str">
        <f aca="false">IF($J28="","",IF($G28="","טרם נענה",IF($G28&lt;=$J28,"✓","✗")))</f>
        <v/>
      </c>
      <c r="L28" s="5"/>
    </row>
    <row r="29" customFormat="false" ht="15" hidden="false" customHeight="false" outlineLevel="0" collapsed="false">
      <c r="A29" s="5"/>
      <c r="B29" s="5"/>
      <c r="C29" s="22"/>
      <c r="D29" s="5"/>
      <c r="E29" s="5"/>
      <c r="F29" s="5"/>
      <c r="G29" s="22"/>
      <c r="H29" s="22"/>
      <c r="I29" s="13" t="str">
        <f aca="false">IF(OR($C29="",$H29=""),"",ROUND(($H29-$C29)*24,1))</f>
        <v/>
      </c>
      <c r="J29" s="23" t="str">
        <f aca="false">IF(OR($C29="",$E29="",$E29="בקשה"),"",WORKDAY.INTL(INT($C29),IF($E29="קריטי",1,3),7)+1-1/1440)</f>
        <v/>
      </c>
      <c r="K29" s="9" t="str">
        <f aca="false">IF($J29="","",IF($G29="","טרם נענה",IF($G29&lt;=$J29,"✓","✗")))</f>
        <v/>
      </c>
      <c r="L29" s="5"/>
    </row>
    <row r="30" customFormat="false" ht="15" hidden="false" customHeight="false" outlineLevel="0" collapsed="false">
      <c r="A30" s="5"/>
      <c r="B30" s="5"/>
      <c r="C30" s="22"/>
      <c r="D30" s="5"/>
      <c r="E30" s="5"/>
      <c r="F30" s="5"/>
      <c r="G30" s="22"/>
      <c r="H30" s="22"/>
      <c r="I30" s="13" t="str">
        <f aca="false">IF(OR($C30="",$H30=""),"",ROUND(($H30-$C30)*24,1))</f>
        <v/>
      </c>
      <c r="J30" s="23" t="str">
        <f aca="false">IF(OR($C30="",$E30="",$E30="בקשה"),"",WORKDAY.INTL(INT($C30),IF($E30="קריטי",1,3),7)+1-1/1440)</f>
        <v/>
      </c>
      <c r="K30" s="9" t="str">
        <f aca="false">IF($J30="","",IF($G30="","טרם נענה",IF($G30&lt;=$J30,"✓","✗")))</f>
        <v/>
      </c>
      <c r="L30" s="5"/>
    </row>
    <row r="31" customFormat="false" ht="15" hidden="false" customHeight="false" outlineLevel="0" collapsed="false">
      <c r="A31" s="5"/>
      <c r="B31" s="5"/>
      <c r="C31" s="22"/>
      <c r="D31" s="5"/>
      <c r="E31" s="5"/>
      <c r="F31" s="5"/>
      <c r="G31" s="22"/>
      <c r="H31" s="22"/>
      <c r="I31" s="13" t="str">
        <f aca="false">IF(OR($C31="",$H31=""),"",ROUND(($H31-$C31)*24,1))</f>
        <v/>
      </c>
      <c r="J31" s="23" t="str">
        <f aca="false">IF(OR($C31="",$E31="",$E31="בקשה"),"",WORKDAY.INTL(INT($C31),IF($E31="קריטי",1,3),7)+1-1/1440)</f>
        <v/>
      </c>
      <c r="K31" s="9" t="str">
        <f aca="false">IF($J31="","",IF($G31="","טרם נענה",IF($G31&lt;=$J31,"✓","✗")))</f>
        <v/>
      </c>
      <c r="L31" s="5"/>
    </row>
    <row r="32" customFormat="false" ht="15" hidden="false" customHeight="false" outlineLevel="0" collapsed="false">
      <c r="A32" s="5"/>
      <c r="B32" s="5"/>
      <c r="C32" s="22"/>
      <c r="D32" s="5"/>
      <c r="E32" s="5"/>
      <c r="F32" s="5"/>
      <c r="G32" s="22"/>
      <c r="H32" s="22"/>
      <c r="I32" s="13" t="str">
        <f aca="false">IF(OR($C32="",$H32=""),"",ROUND(($H32-$C32)*24,1))</f>
        <v/>
      </c>
      <c r="J32" s="23" t="str">
        <f aca="false">IF(OR($C32="",$E32="",$E32="בקשה"),"",WORKDAY.INTL(INT($C32),IF($E32="קריטי",1,3),7)+1-1/1440)</f>
        <v/>
      </c>
      <c r="K32" s="9" t="str">
        <f aca="false">IF($J32="","",IF($G32="","טרם נענה",IF($G32&lt;=$J32,"✓","✗")))</f>
        <v/>
      </c>
      <c r="L32" s="5"/>
    </row>
    <row r="33" customFormat="false" ht="15" hidden="false" customHeight="false" outlineLevel="0" collapsed="false">
      <c r="A33" s="5"/>
      <c r="B33" s="5"/>
      <c r="C33" s="22"/>
      <c r="D33" s="5"/>
      <c r="E33" s="5"/>
      <c r="F33" s="5"/>
      <c r="G33" s="22"/>
      <c r="H33" s="22"/>
      <c r="I33" s="13" t="str">
        <f aca="false">IF(OR($C33="",$H33=""),"",ROUND(($H33-$C33)*24,1))</f>
        <v/>
      </c>
      <c r="J33" s="23" t="str">
        <f aca="false">IF(OR($C33="",$E33="",$E33="בקשה"),"",WORKDAY.INTL(INT($C33),IF($E33="קריטי",1,3),7)+1-1/1440)</f>
        <v/>
      </c>
      <c r="K33" s="9" t="str">
        <f aca="false">IF($J33="","",IF($G33="","טרם נענה",IF($G33&lt;=$J33,"✓","✗")))</f>
        <v/>
      </c>
      <c r="L33" s="5"/>
    </row>
    <row r="34" customFormat="false" ht="15" hidden="false" customHeight="false" outlineLevel="0" collapsed="false">
      <c r="A34" s="5"/>
      <c r="B34" s="5"/>
      <c r="C34" s="22"/>
      <c r="D34" s="5"/>
      <c r="E34" s="5"/>
      <c r="F34" s="5"/>
      <c r="G34" s="22"/>
      <c r="H34" s="22"/>
      <c r="I34" s="13" t="str">
        <f aca="false">IF(OR($C34="",$H34=""),"",ROUND(($H34-$C34)*24,1))</f>
        <v/>
      </c>
      <c r="J34" s="23" t="str">
        <f aca="false">IF(OR($C34="",$E34="",$E34="בקשה"),"",WORKDAY.INTL(INT($C34),IF($E34="קריטי",1,3),7)+1-1/1440)</f>
        <v/>
      </c>
      <c r="K34" s="9" t="str">
        <f aca="false">IF($J34="","",IF($G34="","טרם נענה",IF($G34&lt;=$J34,"✓","✗")))</f>
        <v/>
      </c>
      <c r="L34" s="5"/>
    </row>
    <row r="35" customFormat="false" ht="15" hidden="false" customHeight="false" outlineLevel="0" collapsed="false">
      <c r="A35" s="5"/>
      <c r="B35" s="5"/>
      <c r="C35" s="22"/>
      <c r="D35" s="5"/>
      <c r="E35" s="5"/>
      <c r="F35" s="5"/>
      <c r="G35" s="22"/>
      <c r="H35" s="22"/>
      <c r="I35" s="13" t="str">
        <f aca="false">IF(OR($C35="",$H35=""),"",ROUND(($H35-$C35)*24,1))</f>
        <v/>
      </c>
      <c r="J35" s="23" t="str">
        <f aca="false">IF(OR($C35="",$E35="",$E35="בקשה"),"",WORKDAY.INTL(INT($C35),IF($E35="קריטי",1,3),7)+1-1/1440)</f>
        <v/>
      </c>
      <c r="K35" s="9" t="str">
        <f aca="false">IF($J35="","",IF($G35="","טרם נענה",IF($G35&lt;=$J35,"✓","✗")))</f>
        <v/>
      </c>
      <c r="L35" s="5"/>
    </row>
    <row r="36" customFormat="false" ht="15" hidden="false" customHeight="false" outlineLevel="0" collapsed="false">
      <c r="A36" s="5"/>
      <c r="B36" s="5"/>
      <c r="C36" s="22"/>
      <c r="D36" s="5"/>
      <c r="E36" s="5"/>
      <c r="F36" s="5"/>
      <c r="G36" s="22"/>
      <c r="H36" s="22"/>
      <c r="I36" s="13" t="str">
        <f aca="false">IF(OR($C36="",$H36=""),"",ROUND(($H36-$C36)*24,1))</f>
        <v/>
      </c>
      <c r="J36" s="23" t="str">
        <f aca="false">IF(OR($C36="",$E36="",$E36="בקשה"),"",WORKDAY.INTL(INT($C36),IF($E36="קריטי",1,3),7)+1-1/1440)</f>
        <v/>
      </c>
      <c r="K36" s="9" t="str">
        <f aca="false">IF($J36="","",IF($G36="","טרם נענה",IF($G36&lt;=$J36,"✓","✗")))</f>
        <v/>
      </c>
      <c r="L36" s="5"/>
    </row>
    <row r="37" customFormat="false" ht="15" hidden="false" customHeight="false" outlineLevel="0" collapsed="false">
      <c r="A37" s="5"/>
      <c r="B37" s="5"/>
      <c r="C37" s="22"/>
      <c r="D37" s="5"/>
      <c r="E37" s="5"/>
      <c r="F37" s="5"/>
      <c r="G37" s="22"/>
      <c r="H37" s="22"/>
      <c r="I37" s="13" t="str">
        <f aca="false">IF(OR($C37="",$H37=""),"",ROUND(($H37-$C37)*24,1))</f>
        <v/>
      </c>
      <c r="J37" s="23" t="str">
        <f aca="false">IF(OR($C37="",$E37="",$E37="בקשה"),"",WORKDAY.INTL(INT($C37),IF($E37="קריטי",1,3),7)+1-1/1440)</f>
        <v/>
      </c>
      <c r="K37" s="9" t="str">
        <f aca="false">IF($J37="","",IF($G37="","טרם נענה",IF($G37&lt;=$J37,"✓","✗")))</f>
        <v/>
      </c>
      <c r="L37" s="5"/>
    </row>
    <row r="38" customFormat="false" ht="15" hidden="false" customHeight="false" outlineLevel="0" collapsed="false">
      <c r="A38" s="5"/>
      <c r="B38" s="5"/>
      <c r="C38" s="22"/>
      <c r="D38" s="5"/>
      <c r="E38" s="5"/>
      <c r="F38" s="5"/>
      <c r="G38" s="22"/>
      <c r="H38" s="22"/>
      <c r="I38" s="13" t="str">
        <f aca="false">IF(OR($C38="",$H38=""),"",ROUND(($H38-$C38)*24,1))</f>
        <v/>
      </c>
      <c r="J38" s="23" t="str">
        <f aca="false">IF(OR($C38="",$E38="",$E38="בקשה"),"",WORKDAY.INTL(INT($C38),IF($E38="קריטי",1,3),7)+1-1/1440)</f>
        <v/>
      </c>
      <c r="K38" s="9" t="str">
        <f aca="false">IF($J38="","",IF($G38="","טרם נענה",IF($G38&lt;=$J38,"✓","✗")))</f>
        <v/>
      </c>
      <c r="L38" s="5"/>
    </row>
    <row r="39" customFormat="false" ht="15" hidden="false" customHeight="false" outlineLevel="0" collapsed="false">
      <c r="A39" s="5"/>
      <c r="B39" s="5"/>
      <c r="C39" s="22"/>
      <c r="D39" s="5"/>
      <c r="E39" s="5"/>
      <c r="F39" s="5"/>
      <c r="G39" s="22"/>
      <c r="H39" s="22"/>
      <c r="I39" s="13" t="str">
        <f aca="false">IF(OR($C39="",$H39=""),"",ROUND(($H39-$C39)*24,1))</f>
        <v/>
      </c>
      <c r="J39" s="23" t="str">
        <f aca="false">IF(OR($C39="",$E39="",$E39="בקשה"),"",WORKDAY.INTL(INT($C39),IF($E39="קריטי",1,3),7)+1-1/1440)</f>
        <v/>
      </c>
      <c r="K39" s="9" t="str">
        <f aca="false">IF($J39="","",IF($G39="","טרם נענה",IF($G39&lt;=$J39,"✓","✗")))</f>
        <v/>
      </c>
      <c r="L39" s="5"/>
    </row>
    <row r="40" customFormat="false" ht="15" hidden="false" customHeight="false" outlineLevel="0" collapsed="false">
      <c r="A40" s="5"/>
      <c r="B40" s="5"/>
      <c r="C40" s="22"/>
      <c r="D40" s="5"/>
      <c r="E40" s="5"/>
      <c r="F40" s="5"/>
      <c r="G40" s="22"/>
      <c r="H40" s="22"/>
      <c r="I40" s="13" t="str">
        <f aca="false">IF(OR($C40="",$H40=""),"",ROUND(($H40-$C40)*24,1))</f>
        <v/>
      </c>
      <c r="J40" s="23" t="str">
        <f aca="false">IF(OR($C40="",$E40="",$E40="בקשה"),"",WORKDAY.INTL(INT($C40),IF($E40="קריטי",1,3),7)+1-1/1440)</f>
        <v/>
      </c>
      <c r="K40" s="9" t="str">
        <f aca="false">IF($J40="","",IF($G40="","טרם נענה",IF($G40&lt;=$J40,"✓","✗")))</f>
        <v/>
      </c>
      <c r="L40" s="5"/>
    </row>
    <row r="41" customFormat="false" ht="15" hidden="false" customHeight="false" outlineLevel="0" collapsed="false">
      <c r="A41" s="5"/>
      <c r="B41" s="5"/>
      <c r="C41" s="22"/>
      <c r="D41" s="5"/>
      <c r="E41" s="5"/>
      <c r="F41" s="5"/>
      <c r="G41" s="22"/>
      <c r="H41" s="22"/>
      <c r="I41" s="13" t="str">
        <f aca="false">IF(OR($C41="",$H41=""),"",ROUND(($H41-$C41)*24,1))</f>
        <v/>
      </c>
      <c r="J41" s="23" t="str">
        <f aca="false">IF(OR($C41="",$E41="",$E41="בקשה"),"",WORKDAY.INTL(INT($C41),IF($E41="קריטי",1,3),7)+1-1/1440)</f>
        <v/>
      </c>
      <c r="K41" s="9" t="str">
        <f aca="false">IF($J41="","",IF($G41="","טרם נענה",IF($G41&lt;=$J41,"✓","✗")))</f>
        <v/>
      </c>
      <c r="L41" s="5"/>
    </row>
    <row r="42" customFormat="false" ht="15" hidden="false" customHeight="false" outlineLevel="0" collapsed="false">
      <c r="A42" s="5"/>
      <c r="B42" s="5"/>
      <c r="C42" s="22"/>
      <c r="D42" s="5"/>
      <c r="E42" s="5"/>
      <c r="F42" s="5"/>
      <c r="G42" s="22"/>
      <c r="H42" s="22"/>
      <c r="I42" s="13" t="str">
        <f aca="false">IF(OR($C42="",$H42=""),"",ROUND(($H42-$C42)*24,1))</f>
        <v/>
      </c>
      <c r="J42" s="23" t="str">
        <f aca="false">IF(OR($C42="",$E42="",$E42="בקשה"),"",WORKDAY.INTL(INT($C42),IF($E42="קריטי",1,3),7)+1-1/1440)</f>
        <v/>
      </c>
      <c r="K42" s="9" t="str">
        <f aca="false">IF($J42="","",IF($G42="","טרם נענה",IF($G42&lt;=$J42,"✓","✗")))</f>
        <v/>
      </c>
      <c r="L42" s="5"/>
    </row>
    <row r="43" customFormat="false" ht="15" hidden="false" customHeight="false" outlineLevel="0" collapsed="false">
      <c r="A43" s="5"/>
      <c r="B43" s="5"/>
      <c r="C43" s="22"/>
      <c r="D43" s="5"/>
      <c r="E43" s="5"/>
      <c r="F43" s="5"/>
      <c r="G43" s="22"/>
      <c r="H43" s="22"/>
      <c r="I43" s="13" t="str">
        <f aca="false">IF(OR($C43="",$H43=""),"",ROUND(($H43-$C43)*24,1))</f>
        <v/>
      </c>
      <c r="J43" s="23" t="str">
        <f aca="false">IF(OR($C43="",$E43="",$E43="בקשה"),"",WORKDAY.INTL(INT($C43),IF($E43="קריטי",1,3),7)+1-1/1440)</f>
        <v/>
      </c>
      <c r="K43" s="9" t="str">
        <f aca="false">IF($J43="","",IF($G43="","טרם נענה",IF($G43&lt;=$J43,"✓","✗")))</f>
        <v/>
      </c>
      <c r="L43" s="5"/>
    </row>
    <row r="44" customFormat="false" ht="15" hidden="false" customHeight="false" outlineLevel="0" collapsed="false">
      <c r="A44" s="5"/>
      <c r="B44" s="5"/>
      <c r="C44" s="22"/>
      <c r="D44" s="5"/>
      <c r="E44" s="5"/>
      <c r="F44" s="5"/>
      <c r="G44" s="22"/>
      <c r="H44" s="22"/>
      <c r="I44" s="13" t="str">
        <f aca="false">IF(OR($C44="",$H44=""),"",ROUND(($H44-$C44)*24,1))</f>
        <v/>
      </c>
      <c r="J44" s="23" t="str">
        <f aca="false">IF(OR($C44="",$E44="",$E44="בקשה"),"",WORKDAY.INTL(INT($C44),IF($E44="קריטי",1,3),7)+1-1/1440)</f>
        <v/>
      </c>
      <c r="K44" s="9" t="str">
        <f aca="false">IF($J44="","",IF($G44="","טרם נענה",IF($G44&lt;=$J44,"✓","✗")))</f>
        <v/>
      </c>
      <c r="L44" s="5"/>
    </row>
    <row r="45" customFormat="false" ht="15" hidden="false" customHeight="false" outlineLevel="0" collapsed="false">
      <c r="A45" s="5"/>
      <c r="B45" s="5"/>
      <c r="C45" s="22"/>
      <c r="D45" s="5"/>
      <c r="E45" s="5"/>
      <c r="F45" s="5"/>
      <c r="G45" s="22"/>
      <c r="H45" s="22"/>
      <c r="I45" s="13" t="str">
        <f aca="false">IF(OR($C45="",$H45=""),"",ROUND(($H45-$C45)*24,1))</f>
        <v/>
      </c>
      <c r="J45" s="23" t="str">
        <f aca="false">IF(OR($C45="",$E45="",$E45="בקשה"),"",WORKDAY.INTL(INT($C45),IF($E45="קריטי",1,3),7)+1-1/1440)</f>
        <v/>
      </c>
      <c r="K45" s="9" t="str">
        <f aca="false">IF($J45="","",IF($G45="","טרם נענה",IF($G45&lt;=$J45,"✓","✗")))</f>
        <v/>
      </c>
      <c r="L45" s="5"/>
    </row>
    <row r="46" customFormat="false" ht="15" hidden="false" customHeight="false" outlineLevel="0" collapsed="false">
      <c r="A46" s="5"/>
      <c r="B46" s="5"/>
      <c r="C46" s="22"/>
      <c r="D46" s="5"/>
      <c r="E46" s="5"/>
      <c r="F46" s="5"/>
      <c r="G46" s="22"/>
      <c r="H46" s="22"/>
      <c r="I46" s="13" t="str">
        <f aca="false">IF(OR($C46="",$H46=""),"",ROUND(($H46-$C46)*24,1))</f>
        <v/>
      </c>
      <c r="J46" s="23" t="str">
        <f aca="false">IF(OR($C46="",$E46="",$E46="בקשה"),"",WORKDAY.INTL(INT($C46),IF($E46="קריטי",1,3),7)+1-1/1440)</f>
        <v/>
      </c>
      <c r="K46" s="9" t="str">
        <f aca="false">IF($J46="","",IF($G46="","טרם נענה",IF($G46&lt;=$J46,"✓","✗")))</f>
        <v/>
      </c>
      <c r="L46" s="5"/>
    </row>
    <row r="47" customFormat="false" ht="15" hidden="false" customHeight="false" outlineLevel="0" collapsed="false">
      <c r="A47" s="5"/>
      <c r="B47" s="5"/>
      <c r="C47" s="22"/>
      <c r="D47" s="5"/>
      <c r="E47" s="5"/>
      <c r="F47" s="5"/>
      <c r="G47" s="22"/>
      <c r="H47" s="22"/>
      <c r="I47" s="13" t="str">
        <f aca="false">IF(OR($C47="",$H47=""),"",ROUND(($H47-$C47)*24,1))</f>
        <v/>
      </c>
      <c r="J47" s="23" t="str">
        <f aca="false">IF(OR($C47="",$E47="",$E47="בקשה"),"",WORKDAY.INTL(INT($C47),IF($E47="קריטי",1,3),7)+1-1/1440)</f>
        <v/>
      </c>
      <c r="K47" s="9" t="str">
        <f aca="false">IF($J47="","",IF($G47="","טרם נענה",IF($G47&lt;=$J47,"✓","✗")))</f>
        <v/>
      </c>
      <c r="L47" s="5"/>
    </row>
    <row r="48" customFormat="false" ht="15" hidden="false" customHeight="false" outlineLevel="0" collapsed="false">
      <c r="A48" s="5"/>
      <c r="B48" s="5"/>
      <c r="C48" s="22"/>
      <c r="D48" s="5"/>
      <c r="E48" s="5"/>
      <c r="F48" s="5"/>
      <c r="G48" s="22"/>
      <c r="H48" s="22"/>
      <c r="I48" s="13" t="str">
        <f aca="false">IF(OR($C48="",$H48=""),"",ROUND(($H48-$C48)*24,1))</f>
        <v/>
      </c>
      <c r="J48" s="23" t="str">
        <f aca="false">IF(OR($C48="",$E48="",$E48="בקשה"),"",WORKDAY.INTL(INT($C48),IF($E48="קריטי",1,3),7)+1-1/1440)</f>
        <v/>
      </c>
      <c r="K48" s="9" t="str">
        <f aca="false">IF($J48="","",IF($G48="","טרם נענה",IF($G48&lt;=$J48,"✓","✗")))</f>
        <v/>
      </c>
      <c r="L48" s="5"/>
    </row>
    <row r="49" customFormat="false" ht="15" hidden="false" customHeight="false" outlineLevel="0" collapsed="false">
      <c r="A49" s="5"/>
      <c r="B49" s="5"/>
      <c r="C49" s="22"/>
      <c r="D49" s="5"/>
      <c r="E49" s="5"/>
      <c r="F49" s="5"/>
      <c r="G49" s="22"/>
      <c r="H49" s="22"/>
      <c r="I49" s="13" t="str">
        <f aca="false">IF(OR($C49="",$H49=""),"",ROUND(($H49-$C49)*24,1))</f>
        <v/>
      </c>
      <c r="J49" s="23" t="str">
        <f aca="false">IF(OR($C49="",$E49="",$E49="בקשה"),"",WORKDAY.INTL(INT($C49),IF($E49="קריטי",1,3),7)+1-1/1440)</f>
        <v/>
      </c>
      <c r="K49" s="9" t="str">
        <f aca="false">IF($J49="","",IF($G49="","טרם נענה",IF($G49&lt;=$J49,"✓","✗")))</f>
        <v/>
      </c>
      <c r="L49" s="5"/>
    </row>
    <row r="50" customFormat="false" ht="15" hidden="false" customHeight="false" outlineLevel="0" collapsed="false">
      <c r="A50" s="5"/>
      <c r="B50" s="5"/>
      <c r="C50" s="22"/>
      <c r="D50" s="5"/>
      <c r="E50" s="5"/>
      <c r="F50" s="5"/>
      <c r="G50" s="22"/>
      <c r="H50" s="22"/>
      <c r="I50" s="13" t="str">
        <f aca="false">IF(OR($C50="",$H50=""),"",ROUND(($H50-$C50)*24,1))</f>
        <v/>
      </c>
      <c r="J50" s="23" t="str">
        <f aca="false">IF(OR($C50="",$E50="",$E50="בקשה"),"",WORKDAY.INTL(INT($C50),IF($E50="קריטי",1,3),7)+1-1/1440)</f>
        <v/>
      </c>
      <c r="K50" s="9" t="str">
        <f aca="false">IF($J50="","",IF($G50="","טרם נענה",IF($G50&lt;=$J50,"✓","✗")))</f>
        <v/>
      </c>
      <c r="L50" s="5"/>
    </row>
    <row r="51" customFormat="false" ht="15" hidden="false" customHeight="false" outlineLevel="0" collapsed="false">
      <c r="A51" s="5"/>
      <c r="B51" s="5"/>
      <c r="C51" s="22"/>
      <c r="D51" s="5"/>
      <c r="E51" s="5"/>
      <c r="F51" s="5"/>
      <c r="G51" s="22"/>
      <c r="H51" s="22"/>
      <c r="I51" s="13" t="str">
        <f aca="false">IF(OR($C51="",$H51=""),"",ROUND(($H51-$C51)*24,1))</f>
        <v/>
      </c>
      <c r="J51" s="23" t="str">
        <f aca="false">IF(OR($C51="",$E51="",$E51="בקשה"),"",WORKDAY.INTL(INT($C51),IF($E51="קריטי",1,3),7)+1-1/1440)</f>
        <v/>
      </c>
      <c r="K51" s="9" t="str">
        <f aca="false">IF($J51="","",IF($G51="","טרם נענה",IF($G51&lt;=$J51,"✓","✗")))</f>
        <v/>
      </c>
      <c r="L51" s="5"/>
    </row>
    <row r="52" customFormat="false" ht="15" hidden="false" customHeight="false" outlineLevel="0" collapsed="false">
      <c r="A52" s="5"/>
      <c r="B52" s="5"/>
      <c r="C52" s="22"/>
      <c r="D52" s="5"/>
      <c r="E52" s="5"/>
      <c r="F52" s="5"/>
      <c r="G52" s="22"/>
      <c r="H52" s="22"/>
      <c r="I52" s="13" t="str">
        <f aca="false">IF(OR($C52="",$H52=""),"",ROUND(($H52-$C52)*24,1))</f>
        <v/>
      </c>
      <c r="J52" s="23" t="str">
        <f aca="false">IF(OR($C52="",$E52="",$E52="בקשה"),"",WORKDAY.INTL(INT($C52),IF($E52="קריטי",1,3),7)+1-1/1440)</f>
        <v/>
      </c>
      <c r="K52" s="9" t="str">
        <f aca="false">IF($J52="","",IF($G52="","טרם נענה",IF($G52&lt;=$J52,"✓","✗")))</f>
        <v/>
      </c>
      <c r="L52" s="5"/>
    </row>
    <row r="53" customFormat="false" ht="15" hidden="false" customHeight="false" outlineLevel="0" collapsed="false">
      <c r="A53" s="5"/>
      <c r="B53" s="5"/>
      <c r="C53" s="22"/>
      <c r="D53" s="5"/>
      <c r="E53" s="5"/>
      <c r="F53" s="5"/>
      <c r="G53" s="22"/>
      <c r="H53" s="22"/>
      <c r="I53" s="13" t="str">
        <f aca="false">IF(OR($C53="",$H53=""),"",ROUND(($H53-$C53)*24,1))</f>
        <v/>
      </c>
      <c r="J53" s="23" t="str">
        <f aca="false">IF(OR($C53="",$E53="",$E53="בקשה"),"",WORKDAY.INTL(INT($C53),IF($E53="קריטי",1,3),7)+1-1/1440)</f>
        <v/>
      </c>
      <c r="K53" s="9" t="str">
        <f aca="false">IF($J53="","",IF($G53="","טרם נענה",IF($G53&lt;=$J53,"✓","✗")))</f>
        <v/>
      </c>
      <c r="L53" s="5"/>
    </row>
    <row r="54" customFormat="false" ht="15" hidden="false" customHeight="false" outlineLevel="0" collapsed="false">
      <c r="A54" s="5"/>
      <c r="B54" s="5"/>
      <c r="C54" s="22"/>
      <c r="D54" s="5"/>
      <c r="E54" s="5"/>
      <c r="F54" s="5"/>
      <c r="G54" s="22"/>
      <c r="H54" s="22"/>
      <c r="I54" s="13" t="str">
        <f aca="false">IF(OR($C54="",$H54=""),"",ROUND(($H54-$C54)*24,1))</f>
        <v/>
      </c>
      <c r="J54" s="23" t="str">
        <f aca="false">IF(OR($C54="",$E54="",$E54="בקשה"),"",WORKDAY.INTL(INT($C54),IF($E54="קריטי",1,3),7)+1-1/1440)</f>
        <v/>
      </c>
      <c r="K54" s="9" t="str">
        <f aca="false">IF($J54="","",IF($G54="","טרם נענה",IF($G54&lt;=$J54,"✓","✗")))</f>
        <v/>
      </c>
      <c r="L54" s="5"/>
    </row>
    <row r="55" customFormat="false" ht="15" hidden="false" customHeight="false" outlineLevel="0" collapsed="false">
      <c r="A55" s="5"/>
      <c r="B55" s="5"/>
      <c r="C55" s="22"/>
      <c r="D55" s="5"/>
      <c r="E55" s="5"/>
      <c r="F55" s="5"/>
      <c r="G55" s="22"/>
      <c r="H55" s="22"/>
      <c r="I55" s="13" t="str">
        <f aca="false">IF(OR($C55="",$H55=""),"",ROUND(($H55-$C55)*24,1))</f>
        <v/>
      </c>
      <c r="J55" s="23" t="str">
        <f aca="false">IF(OR($C55="",$E55="",$E55="בקשה"),"",WORKDAY.INTL(INT($C55),IF($E55="קריטי",1,3),7)+1-1/1440)</f>
        <v/>
      </c>
      <c r="K55" s="9" t="str">
        <f aca="false">IF($J55="","",IF($G55="","טרם נענה",IF($G55&lt;=$J55,"✓","✗")))</f>
        <v/>
      </c>
      <c r="L55" s="5"/>
    </row>
    <row r="56" customFormat="false" ht="15" hidden="false" customHeight="false" outlineLevel="0" collapsed="false">
      <c r="A56" s="5"/>
      <c r="B56" s="5"/>
      <c r="C56" s="22"/>
      <c r="D56" s="5"/>
      <c r="E56" s="5"/>
      <c r="F56" s="5"/>
      <c r="G56" s="22"/>
      <c r="H56" s="22"/>
      <c r="I56" s="13" t="str">
        <f aca="false">IF(OR($C56="",$H56=""),"",ROUND(($H56-$C56)*24,1))</f>
        <v/>
      </c>
      <c r="J56" s="23" t="str">
        <f aca="false">IF(OR($C56="",$E56="",$E56="בקשה"),"",WORKDAY.INTL(INT($C56),IF($E56="קריטי",1,3),7)+1-1/1440)</f>
        <v/>
      </c>
      <c r="K56" s="9" t="str">
        <f aca="false">IF($J56="","",IF($G56="","טרם נענה",IF($G56&lt;=$J56,"✓","✗")))</f>
        <v/>
      </c>
      <c r="L56" s="5"/>
    </row>
    <row r="57" customFormat="false" ht="15" hidden="false" customHeight="false" outlineLevel="0" collapsed="false">
      <c r="A57" s="5"/>
      <c r="B57" s="5"/>
      <c r="C57" s="22"/>
      <c r="D57" s="5"/>
      <c r="E57" s="5"/>
      <c r="F57" s="5"/>
      <c r="G57" s="22"/>
      <c r="H57" s="22"/>
      <c r="I57" s="13" t="str">
        <f aca="false">IF(OR($C57="",$H57=""),"",ROUND(($H57-$C57)*24,1))</f>
        <v/>
      </c>
      <c r="J57" s="23" t="str">
        <f aca="false">IF(OR($C57="",$E57="",$E57="בקשה"),"",WORKDAY.INTL(INT($C57),IF($E57="קריטי",1,3),7)+1-1/1440)</f>
        <v/>
      </c>
      <c r="K57" s="9" t="str">
        <f aca="false">IF($J57="","",IF($G57="","טרם נענה",IF($G57&lt;=$J57,"✓","✗")))</f>
        <v/>
      </c>
      <c r="L57" s="5"/>
    </row>
    <row r="58" customFormat="false" ht="15" hidden="false" customHeight="false" outlineLevel="0" collapsed="false">
      <c r="A58" s="5"/>
      <c r="B58" s="5"/>
      <c r="C58" s="22"/>
      <c r="D58" s="5"/>
      <c r="E58" s="5"/>
      <c r="F58" s="5"/>
      <c r="G58" s="22"/>
      <c r="H58" s="22"/>
      <c r="I58" s="13" t="str">
        <f aca="false">IF(OR($C58="",$H58=""),"",ROUND(($H58-$C58)*24,1))</f>
        <v/>
      </c>
      <c r="J58" s="23" t="str">
        <f aca="false">IF(OR($C58="",$E58="",$E58="בקשה"),"",WORKDAY.INTL(INT($C58),IF($E58="קריטי",1,3),7)+1-1/1440)</f>
        <v/>
      </c>
      <c r="K58" s="9" t="str">
        <f aca="false">IF($J58="","",IF($G58="","טרם נענה",IF($G58&lt;=$J58,"✓","✗")))</f>
        <v/>
      </c>
      <c r="L58" s="5"/>
    </row>
    <row r="59" customFormat="false" ht="15" hidden="false" customHeight="false" outlineLevel="0" collapsed="false">
      <c r="A59" s="5"/>
      <c r="B59" s="5"/>
      <c r="C59" s="22"/>
      <c r="D59" s="5"/>
      <c r="E59" s="5"/>
      <c r="F59" s="5"/>
      <c r="G59" s="22"/>
      <c r="H59" s="22"/>
      <c r="I59" s="13" t="str">
        <f aca="false">IF(OR($C59="",$H59=""),"",ROUND(($H59-$C59)*24,1))</f>
        <v/>
      </c>
      <c r="J59" s="23" t="str">
        <f aca="false">IF(OR($C59="",$E59="",$E59="בקשה"),"",WORKDAY.INTL(INT($C59),IF($E59="קריטי",1,3),7)+1-1/1440)</f>
        <v/>
      </c>
      <c r="K59" s="9" t="str">
        <f aca="false">IF($J59="","",IF($G59="","טרם נענה",IF($G59&lt;=$J59,"✓","✗")))</f>
        <v/>
      </c>
      <c r="L59" s="5"/>
    </row>
    <row r="60" customFormat="false" ht="15" hidden="false" customHeight="false" outlineLevel="0" collapsed="false">
      <c r="A60" s="5"/>
      <c r="B60" s="5"/>
      <c r="C60" s="22"/>
      <c r="D60" s="5"/>
      <c r="E60" s="5"/>
      <c r="F60" s="5"/>
      <c r="G60" s="22"/>
      <c r="H60" s="22"/>
      <c r="I60" s="13" t="str">
        <f aca="false">IF(OR($C60="",$H60=""),"",ROUND(($H60-$C60)*24,1))</f>
        <v/>
      </c>
      <c r="J60" s="23" t="str">
        <f aca="false">IF(OR($C60="",$E60="",$E60="בקשה"),"",WORKDAY.INTL(INT($C60),IF($E60="קריטי",1,3),7)+1-1/1440)</f>
        <v/>
      </c>
      <c r="K60" s="9" t="str">
        <f aca="false">IF($J60="","",IF($G60="","טרם נענה",IF($G60&lt;=$J60,"✓","✗")))</f>
        <v/>
      </c>
      <c r="L60" s="5"/>
    </row>
    <row r="61" customFormat="false" ht="15" hidden="false" customHeight="false" outlineLevel="0" collapsed="false">
      <c r="A61" s="5"/>
      <c r="B61" s="5"/>
      <c r="C61" s="22"/>
      <c r="D61" s="5"/>
      <c r="E61" s="5"/>
      <c r="F61" s="5"/>
      <c r="G61" s="22"/>
      <c r="H61" s="22"/>
      <c r="I61" s="13" t="str">
        <f aca="false">IF(OR($C61="",$H61=""),"",ROUND(($H61-$C61)*24,1))</f>
        <v/>
      </c>
      <c r="J61" s="23" t="str">
        <f aca="false">IF(OR($C61="",$E61="",$E61="בקשה"),"",WORKDAY.INTL(INT($C61),IF($E61="קריטי",1,3),7)+1-1/1440)</f>
        <v/>
      </c>
      <c r="K61" s="9" t="str">
        <f aca="false">IF($J61="","",IF($G61="","טרם נענה",IF($G61&lt;=$J61,"✓","✗")))</f>
        <v/>
      </c>
      <c r="L61" s="5"/>
    </row>
    <row r="62" customFormat="false" ht="15" hidden="false" customHeight="false" outlineLevel="0" collapsed="false">
      <c r="A62" s="5"/>
      <c r="B62" s="5"/>
      <c r="C62" s="22"/>
      <c r="D62" s="5"/>
      <c r="E62" s="5"/>
      <c r="F62" s="5"/>
      <c r="G62" s="22"/>
      <c r="H62" s="22"/>
      <c r="I62" s="13" t="str">
        <f aca="false">IF(OR($C62="",$H62=""),"",ROUND(($H62-$C62)*24,1))</f>
        <v/>
      </c>
      <c r="J62" s="23" t="str">
        <f aca="false">IF(OR($C62="",$E62="",$E62="בקשה"),"",WORKDAY.INTL(INT($C62),IF($E62="קריטי",1,3),7)+1-1/1440)</f>
        <v/>
      </c>
      <c r="K62" s="9" t="str">
        <f aca="false">IF($J62="","",IF($G62="","טרם נענה",IF($G62&lt;=$J62,"✓","✗")))</f>
        <v/>
      </c>
      <c r="L62" s="5"/>
    </row>
    <row r="63" customFormat="false" ht="15" hidden="false" customHeight="false" outlineLevel="0" collapsed="false">
      <c r="A63" s="5"/>
      <c r="B63" s="5"/>
      <c r="C63" s="22"/>
      <c r="D63" s="5"/>
      <c r="E63" s="5"/>
      <c r="F63" s="5"/>
      <c r="G63" s="22"/>
      <c r="H63" s="22"/>
      <c r="I63" s="13" t="str">
        <f aca="false">IF(OR($C63="",$H63=""),"",ROUND(($H63-$C63)*24,1))</f>
        <v/>
      </c>
      <c r="J63" s="23" t="str">
        <f aca="false">IF(OR($C63="",$E63="",$E63="בקשה"),"",WORKDAY.INTL(INT($C63),IF($E63="קריטי",1,3),7)+1-1/1440)</f>
        <v/>
      </c>
      <c r="K63" s="9" t="str">
        <f aca="false">IF($J63="","",IF($G63="","טרם נענה",IF($G63&lt;=$J63,"✓","✗")))</f>
        <v/>
      </c>
      <c r="L63" s="5"/>
    </row>
    <row r="64" customFormat="false" ht="15" hidden="false" customHeight="false" outlineLevel="0" collapsed="false">
      <c r="A64" s="5"/>
      <c r="B64" s="5"/>
      <c r="C64" s="22"/>
      <c r="D64" s="5"/>
      <c r="E64" s="5"/>
      <c r="F64" s="5"/>
      <c r="G64" s="22"/>
      <c r="H64" s="22"/>
      <c r="I64" s="13" t="str">
        <f aca="false">IF(OR($C64="",$H64=""),"",ROUND(($H64-$C64)*24,1))</f>
        <v/>
      </c>
      <c r="J64" s="23" t="str">
        <f aca="false">IF(OR($C64="",$E64="",$E64="בקשה"),"",WORKDAY.INTL(INT($C64),IF($E64="קריטי",1,3),7)+1-1/1440)</f>
        <v/>
      </c>
      <c r="K64" s="9" t="str">
        <f aca="false">IF($J64="","",IF($G64="","טרם נענה",IF($G64&lt;=$J64,"✓","✗")))</f>
        <v/>
      </c>
      <c r="L64" s="5"/>
    </row>
    <row r="65" customFormat="false" ht="15" hidden="false" customHeight="false" outlineLevel="0" collapsed="false">
      <c r="A65" s="5"/>
      <c r="B65" s="5"/>
      <c r="C65" s="22"/>
      <c r="D65" s="5"/>
      <c r="E65" s="5"/>
      <c r="F65" s="5"/>
      <c r="G65" s="22"/>
      <c r="H65" s="22"/>
      <c r="I65" s="13" t="str">
        <f aca="false">IF(OR($C65="",$H65=""),"",ROUND(($H65-$C65)*24,1))</f>
        <v/>
      </c>
      <c r="J65" s="23" t="str">
        <f aca="false">IF(OR($C65="",$E65="",$E65="בקשה"),"",WORKDAY.INTL(INT($C65),IF($E65="קריטי",1,3),7)+1-1/1440)</f>
        <v/>
      </c>
      <c r="K65" s="9" t="str">
        <f aca="false">IF($J65="","",IF($G65="","טרם נענה",IF($G65&lt;=$J65,"✓","✗")))</f>
        <v/>
      </c>
      <c r="L65" s="5"/>
    </row>
    <row r="66" customFormat="false" ht="15" hidden="false" customHeight="false" outlineLevel="0" collapsed="false">
      <c r="A66" s="5"/>
      <c r="B66" s="5"/>
      <c r="C66" s="22"/>
      <c r="D66" s="5"/>
      <c r="E66" s="5"/>
      <c r="F66" s="5"/>
      <c r="G66" s="22"/>
      <c r="H66" s="22"/>
      <c r="I66" s="13" t="str">
        <f aca="false">IF(OR($C66="",$H66=""),"",ROUND(($H66-$C66)*24,1))</f>
        <v/>
      </c>
      <c r="J66" s="23" t="str">
        <f aca="false">IF(OR($C66="",$E66="",$E66="בקשה"),"",WORKDAY.INTL(INT($C66),IF($E66="קריטי",1,3),7)+1-1/1440)</f>
        <v/>
      </c>
      <c r="K66" s="9" t="str">
        <f aca="false">IF($J66="","",IF($G66="","טרם נענה",IF($G66&lt;=$J66,"✓","✗")))</f>
        <v/>
      </c>
      <c r="L66" s="5"/>
    </row>
    <row r="67" customFormat="false" ht="15" hidden="false" customHeight="false" outlineLevel="0" collapsed="false">
      <c r="A67" s="5"/>
      <c r="B67" s="5"/>
      <c r="C67" s="22"/>
      <c r="D67" s="5"/>
      <c r="E67" s="5"/>
      <c r="F67" s="5"/>
      <c r="G67" s="22"/>
      <c r="H67" s="22"/>
      <c r="I67" s="13" t="str">
        <f aca="false">IF(OR($C67="",$H67=""),"",ROUND(($H67-$C67)*24,1))</f>
        <v/>
      </c>
      <c r="J67" s="23" t="str">
        <f aca="false">IF(OR($C67="",$E67="",$E67="בקשה"),"",WORKDAY.INTL(INT($C67),IF($E67="קריטי",1,3),7)+1-1/1440)</f>
        <v/>
      </c>
      <c r="K67" s="9" t="str">
        <f aca="false">IF($J67="","",IF($G67="","טרם נענה",IF($G67&lt;=$J67,"✓","✗")))</f>
        <v/>
      </c>
      <c r="L67" s="5"/>
    </row>
    <row r="68" customFormat="false" ht="15" hidden="false" customHeight="false" outlineLevel="0" collapsed="false">
      <c r="A68" s="5"/>
      <c r="B68" s="5"/>
      <c r="C68" s="22"/>
      <c r="D68" s="5"/>
      <c r="E68" s="5"/>
      <c r="F68" s="5"/>
      <c r="G68" s="22"/>
      <c r="H68" s="22"/>
      <c r="I68" s="13" t="str">
        <f aca="false">IF(OR($C68="",$H68=""),"",ROUND(($H68-$C68)*24,1))</f>
        <v/>
      </c>
      <c r="J68" s="23" t="str">
        <f aca="false">IF(OR($C68="",$E68="",$E68="בקשה"),"",WORKDAY.INTL(INT($C68),IF($E68="קריטי",1,3),7)+1-1/1440)</f>
        <v/>
      </c>
      <c r="K68" s="9" t="str">
        <f aca="false">IF($J68="","",IF($G68="","טרם נענה",IF($G68&lt;=$J68,"✓","✗")))</f>
        <v/>
      </c>
      <c r="L68" s="5"/>
    </row>
    <row r="69" customFormat="false" ht="15" hidden="false" customHeight="false" outlineLevel="0" collapsed="false">
      <c r="A69" s="5"/>
      <c r="B69" s="5"/>
      <c r="C69" s="22"/>
      <c r="D69" s="5"/>
      <c r="E69" s="5"/>
      <c r="F69" s="5"/>
      <c r="G69" s="22"/>
      <c r="H69" s="22"/>
      <c r="I69" s="13" t="str">
        <f aca="false">IF(OR($C69="",$H69=""),"",ROUND(($H69-$C69)*24,1))</f>
        <v/>
      </c>
      <c r="J69" s="23" t="str">
        <f aca="false">IF(OR($C69="",$E69="",$E69="בקשה"),"",WORKDAY.INTL(INT($C69),IF($E69="קריטי",1,3),7)+1-1/1440)</f>
        <v/>
      </c>
      <c r="K69" s="9" t="str">
        <f aca="false">IF($J69="","",IF($G69="","טרם נענה",IF($G69&lt;=$J69,"✓","✗")))</f>
        <v/>
      </c>
      <c r="L69" s="5"/>
    </row>
    <row r="70" customFormat="false" ht="15" hidden="false" customHeight="false" outlineLevel="0" collapsed="false">
      <c r="A70" s="5"/>
      <c r="B70" s="5"/>
      <c r="C70" s="22"/>
      <c r="D70" s="5"/>
      <c r="E70" s="5"/>
      <c r="F70" s="5"/>
      <c r="G70" s="22"/>
      <c r="H70" s="22"/>
      <c r="I70" s="13" t="str">
        <f aca="false">IF(OR($C70="",$H70=""),"",ROUND(($H70-$C70)*24,1))</f>
        <v/>
      </c>
      <c r="J70" s="23" t="str">
        <f aca="false">IF(OR($C70="",$E70="",$E70="בקשה"),"",WORKDAY.INTL(INT($C70),IF($E70="קריטי",1,3),7)+1-1/1440)</f>
        <v/>
      </c>
      <c r="K70" s="9" t="str">
        <f aca="false">IF($J70="","",IF($G70="","טרם נענה",IF($G70&lt;=$J70,"✓","✗")))</f>
        <v/>
      </c>
      <c r="L70" s="5"/>
    </row>
    <row r="71" customFormat="false" ht="15" hidden="false" customHeight="false" outlineLevel="0" collapsed="false">
      <c r="A71" s="5"/>
      <c r="B71" s="5"/>
      <c r="C71" s="22"/>
      <c r="D71" s="5"/>
      <c r="E71" s="5"/>
      <c r="F71" s="5"/>
      <c r="G71" s="22"/>
      <c r="H71" s="22"/>
      <c r="I71" s="13" t="str">
        <f aca="false">IF(OR($C71="",$H71=""),"",ROUND(($H71-$C71)*24,1))</f>
        <v/>
      </c>
      <c r="J71" s="23" t="str">
        <f aca="false">IF(OR($C71="",$E71="",$E71="בקשה"),"",WORKDAY.INTL(INT($C71),IF($E71="קריטי",1,3),7)+1-1/1440)</f>
        <v/>
      </c>
      <c r="K71" s="9" t="str">
        <f aca="false">IF($J71="","",IF($G71="","טרם נענה",IF($G71&lt;=$J71,"✓","✗")))</f>
        <v/>
      </c>
      <c r="L71" s="5"/>
    </row>
    <row r="72" customFormat="false" ht="15" hidden="false" customHeight="false" outlineLevel="0" collapsed="false">
      <c r="A72" s="5"/>
      <c r="B72" s="5"/>
      <c r="C72" s="22"/>
      <c r="D72" s="5"/>
      <c r="E72" s="5"/>
      <c r="F72" s="5"/>
      <c r="G72" s="22"/>
      <c r="H72" s="22"/>
      <c r="I72" s="13" t="str">
        <f aca="false">IF(OR($C72="",$H72=""),"",ROUND(($H72-$C72)*24,1))</f>
        <v/>
      </c>
      <c r="J72" s="23" t="str">
        <f aca="false">IF(OR($C72="",$E72="",$E72="בקשה"),"",WORKDAY.INTL(INT($C72),IF($E72="קריטי",1,3),7)+1-1/1440)</f>
        <v/>
      </c>
      <c r="K72" s="9" t="str">
        <f aca="false">IF($J72="","",IF($G72="","טרם נענה",IF($G72&lt;=$J72,"✓","✗")))</f>
        <v/>
      </c>
      <c r="L72" s="5"/>
    </row>
    <row r="73" customFormat="false" ht="15" hidden="false" customHeight="false" outlineLevel="0" collapsed="false">
      <c r="A73" s="5"/>
      <c r="B73" s="5"/>
      <c r="C73" s="22"/>
      <c r="D73" s="5"/>
      <c r="E73" s="5"/>
      <c r="F73" s="5"/>
      <c r="G73" s="22"/>
      <c r="H73" s="22"/>
      <c r="I73" s="13" t="str">
        <f aca="false">IF(OR($C73="",$H73=""),"",ROUND(($H73-$C73)*24,1))</f>
        <v/>
      </c>
      <c r="J73" s="23" t="str">
        <f aca="false">IF(OR($C73="",$E73="",$E73="בקשה"),"",WORKDAY.INTL(INT($C73),IF($E73="קריטי",1,3),7)+1-1/1440)</f>
        <v/>
      </c>
      <c r="K73" s="9" t="str">
        <f aca="false">IF($J73="","",IF($G73="","טרם נענה",IF($G73&lt;=$J73,"✓","✗")))</f>
        <v/>
      </c>
      <c r="L73" s="5"/>
    </row>
    <row r="74" customFormat="false" ht="15" hidden="false" customHeight="false" outlineLevel="0" collapsed="false">
      <c r="A74" s="5"/>
      <c r="B74" s="5"/>
      <c r="C74" s="22"/>
      <c r="D74" s="5"/>
      <c r="E74" s="5"/>
      <c r="F74" s="5"/>
      <c r="G74" s="22"/>
      <c r="H74" s="22"/>
      <c r="I74" s="13" t="str">
        <f aca="false">IF(OR($C74="",$H74=""),"",ROUND(($H74-$C74)*24,1))</f>
        <v/>
      </c>
      <c r="J74" s="23" t="str">
        <f aca="false">IF(OR($C74="",$E74="",$E74="בקשה"),"",WORKDAY.INTL(INT($C74),IF($E74="קריטי",1,3),7)+1-1/1440)</f>
        <v/>
      </c>
      <c r="K74" s="9" t="str">
        <f aca="false">IF($J74="","",IF($G74="","טרם נענה",IF($G74&lt;=$J74,"✓","✗")))</f>
        <v/>
      </c>
      <c r="L74" s="5"/>
    </row>
    <row r="75" customFormat="false" ht="15" hidden="false" customHeight="false" outlineLevel="0" collapsed="false">
      <c r="A75" s="5"/>
      <c r="B75" s="5"/>
      <c r="C75" s="22"/>
      <c r="D75" s="5"/>
      <c r="E75" s="5"/>
      <c r="F75" s="5"/>
      <c r="G75" s="22"/>
      <c r="H75" s="22"/>
      <c r="I75" s="13" t="str">
        <f aca="false">IF(OR($C75="",$H75=""),"",ROUND(($H75-$C75)*24,1))</f>
        <v/>
      </c>
      <c r="J75" s="23" t="str">
        <f aca="false">IF(OR($C75="",$E75="",$E75="בקשה"),"",WORKDAY.INTL(INT($C75),IF($E75="קריטי",1,3),7)+1-1/1440)</f>
        <v/>
      </c>
      <c r="K75" s="9" t="str">
        <f aca="false">IF($J75="","",IF($G75="","טרם נענה",IF($G75&lt;=$J75,"✓","✗")))</f>
        <v/>
      </c>
      <c r="L75" s="5"/>
    </row>
    <row r="76" customFormat="false" ht="15" hidden="false" customHeight="false" outlineLevel="0" collapsed="false">
      <c r="A76" s="5"/>
      <c r="B76" s="5"/>
      <c r="C76" s="22"/>
      <c r="D76" s="5"/>
      <c r="E76" s="5"/>
      <c r="F76" s="5"/>
      <c r="G76" s="22"/>
      <c r="H76" s="22"/>
      <c r="I76" s="13" t="str">
        <f aca="false">IF(OR($C76="",$H76=""),"",ROUND(($H76-$C76)*24,1))</f>
        <v/>
      </c>
      <c r="J76" s="23" t="str">
        <f aca="false">IF(OR($C76="",$E76="",$E76="בקשה"),"",WORKDAY.INTL(INT($C76),IF($E76="קריטי",1,3),7)+1-1/1440)</f>
        <v/>
      </c>
      <c r="K76" s="9" t="str">
        <f aca="false">IF($J76="","",IF($G76="","טרם נענה",IF($G76&lt;=$J76,"✓","✗")))</f>
        <v/>
      </c>
      <c r="L76" s="5"/>
    </row>
    <row r="77" customFormat="false" ht="15" hidden="false" customHeight="false" outlineLevel="0" collapsed="false">
      <c r="A77" s="5"/>
      <c r="B77" s="5"/>
      <c r="C77" s="22"/>
      <c r="D77" s="5"/>
      <c r="E77" s="5"/>
      <c r="F77" s="5"/>
      <c r="G77" s="22"/>
      <c r="H77" s="22"/>
      <c r="I77" s="13" t="str">
        <f aca="false">IF(OR($C77="",$H77=""),"",ROUND(($H77-$C77)*24,1))</f>
        <v/>
      </c>
      <c r="J77" s="23" t="str">
        <f aca="false">IF(OR($C77="",$E77="",$E77="בקשה"),"",WORKDAY.INTL(INT($C77),IF($E77="קריטי",1,3),7)+1-1/1440)</f>
        <v/>
      </c>
      <c r="K77" s="9" t="str">
        <f aca="false">IF($J77="","",IF($G77="","טרם נענה",IF($G77&lt;=$J77,"✓","✗")))</f>
        <v/>
      </c>
      <c r="L77" s="5"/>
    </row>
    <row r="78" customFormat="false" ht="15" hidden="false" customHeight="false" outlineLevel="0" collapsed="false">
      <c r="A78" s="5"/>
      <c r="B78" s="5"/>
      <c r="C78" s="22"/>
      <c r="D78" s="5"/>
      <c r="E78" s="5"/>
      <c r="F78" s="5"/>
      <c r="G78" s="22"/>
      <c r="H78" s="22"/>
      <c r="I78" s="13" t="str">
        <f aca="false">IF(OR($C78="",$H78=""),"",ROUND(($H78-$C78)*24,1))</f>
        <v/>
      </c>
      <c r="J78" s="23" t="str">
        <f aca="false">IF(OR($C78="",$E78="",$E78="בקשה"),"",WORKDAY.INTL(INT($C78),IF($E78="קריטי",1,3),7)+1-1/1440)</f>
        <v/>
      </c>
      <c r="K78" s="9" t="str">
        <f aca="false">IF($J78="","",IF($G78="","טרם נענה",IF($G78&lt;=$J78,"✓","✗")))</f>
        <v/>
      </c>
      <c r="L78" s="5"/>
    </row>
    <row r="79" customFormat="false" ht="15" hidden="false" customHeight="false" outlineLevel="0" collapsed="false">
      <c r="A79" s="5"/>
      <c r="B79" s="5"/>
      <c r="C79" s="22"/>
      <c r="D79" s="5"/>
      <c r="E79" s="5"/>
      <c r="F79" s="5"/>
      <c r="G79" s="22"/>
      <c r="H79" s="22"/>
      <c r="I79" s="13" t="str">
        <f aca="false">IF(OR($C79="",$H79=""),"",ROUND(($H79-$C79)*24,1))</f>
        <v/>
      </c>
      <c r="J79" s="23" t="str">
        <f aca="false">IF(OR($C79="",$E79="",$E79="בקשה"),"",WORKDAY.INTL(INT($C79),IF($E79="קריטי",1,3),7)+1-1/1440)</f>
        <v/>
      </c>
      <c r="K79" s="9" t="str">
        <f aca="false">IF($J79="","",IF($G79="","טרם נענה",IF($G79&lt;=$J79,"✓","✗")))</f>
        <v/>
      </c>
      <c r="L79" s="5"/>
    </row>
    <row r="80" customFormat="false" ht="15" hidden="false" customHeight="false" outlineLevel="0" collapsed="false">
      <c r="A80" s="5"/>
      <c r="B80" s="5"/>
      <c r="C80" s="22"/>
      <c r="D80" s="5"/>
      <c r="E80" s="5"/>
      <c r="F80" s="5"/>
      <c r="G80" s="22"/>
      <c r="H80" s="22"/>
      <c r="I80" s="13" t="str">
        <f aca="false">IF(OR($C80="",$H80=""),"",ROUND(($H80-$C80)*24,1))</f>
        <v/>
      </c>
      <c r="J80" s="23" t="str">
        <f aca="false">IF(OR($C80="",$E80="",$E80="בקשה"),"",WORKDAY.INTL(INT($C80),IF($E80="קריטי",1,3),7)+1-1/1440)</f>
        <v/>
      </c>
      <c r="K80" s="9" t="str">
        <f aca="false">IF($J80="","",IF($G80="","טרם נענה",IF($G80&lt;=$J80,"✓","✗")))</f>
        <v/>
      </c>
      <c r="L80" s="5"/>
    </row>
    <row r="81" customFormat="false" ht="15" hidden="false" customHeight="false" outlineLevel="0" collapsed="false">
      <c r="A81" s="5"/>
      <c r="B81" s="5"/>
      <c r="C81" s="22"/>
      <c r="D81" s="5"/>
      <c r="E81" s="5"/>
      <c r="F81" s="5"/>
      <c r="G81" s="22"/>
      <c r="H81" s="22"/>
      <c r="I81" s="13" t="str">
        <f aca="false">IF(OR($C81="",$H81=""),"",ROUND(($H81-$C81)*24,1))</f>
        <v/>
      </c>
      <c r="J81" s="23" t="str">
        <f aca="false">IF(OR($C81="",$E81="",$E81="בקשה"),"",WORKDAY.INTL(INT($C81),IF($E81="קריטי",1,3),7)+1-1/1440)</f>
        <v/>
      </c>
      <c r="K81" s="9" t="str">
        <f aca="false">IF($J81="","",IF($G81="","טרם נענה",IF($G81&lt;=$J81,"✓","✗")))</f>
        <v/>
      </c>
      <c r="L81" s="5"/>
    </row>
    <row r="82" customFormat="false" ht="15" hidden="false" customHeight="false" outlineLevel="0" collapsed="false">
      <c r="A82" s="5"/>
      <c r="B82" s="5"/>
      <c r="C82" s="22"/>
      <c r="D82" s="5"/>
      <c r="E82" s="5"/>
      <c r="F82" s="5"/>
      <c r="G82" s="22"/>
      <c r="H82" s="22"/>
      <c r="I82" s="13" t="str">
        <f aca="false">IF(OR($C82="",$H82=""),"",ROUND(($H82-$C82)*24,1))</f>
        <v/>
      </c>
      <c r="J82" s="23" t="str">
        <f aca="false">IF(OR($C82="",$E82="",$E82="בקשה"),"",WORKDAY.INTL(INT($C82),IF($E82="קריטי",1,3),7)+1-1/1440)</f>
        <v/>
      </c>
      <c r="K82" s="9" t="str">
        <f aca="false">IF($J82="","",IF($G82="","טרם נענה",IF($G82&lt;=$J82,"✓","✗")))</f>
        <v/>
      </c>
      <c r="L82" s="5"/>
    </row>
    <row r="83" customFormat="false" ht="15" hidden="false" customHeight="false" outlineLevel="0" collapsed="false">
      <c r="A83" s="5"/>
      <c r="B83" s="5"/>
      <c r="C83" s="22"/>
      <c r="D83" s="5"/>
      <c r="E83" s="5"/>
      <c r="F83" s="5"/>
      <c r="G83" s="22"/>
      <c r="H83" s="22"/>
      <c r="I83" s="13" t="str">
        <f aca="false">IF(OR($C83="",$H83=""),"",ROUND(($H83-$C83)*24,1))</f>
        <v/>
      </c>
      <c r="J83" s="23" t="str">
        <f aca="false">IF(OR($C83="",$E83="",$E83="בקשה"),"",WORKDAY.INTL(INT($C83),IF($E83="קריטי",1,3),7)+1-1/1440)</f>
        <v/>
      </c>
      <c r="K83" s="9" t="str">
        <f aca="false">IF($J83="","",IF($G83="","טרם נענה",IF($G83&lt;=$J83,"✓","✗")))</f>
        <v/>
      </c>
      <c r="L83" s="5"/>
    </row>
    <row r="84" customFormat="false" ht="15" hidden="false" customHeight="false" outlineLevel="0" collapsed="false">
      <c r="A84" s="5"/>
      <c r="B84" s="5"/>
      <c r="C84" s="22"/>
      <c r="D84" s="5"/>
      <c r="E84" s="5"/>
      <c r="F84" s="5"/>
      <c r="G84" s="22"/>
      <c r="H84" s="22"/>
      <c r="I84" s="13" t="str">
        <f aca="false">IF(OR($C84="",$H84=""),"",ROUND(($H84-$C84)*24,1))</f>
        <v/>
      </c>
      <c r="J84" s="23" t="str">
        <f aca="false">IF(OR($C84="",$E84="",$E84="בקשה"),"",WORKDAY.INTL(INT($C84),IF($E84="קריטי",1,3),7)+1-1/1440)</f>
        <v/>
      </c>
      <c r="K84" s="9" t="str">
        <f aca="false">IF($J84="","",IF($G84="","טרם נענה",IF($G84&lt;=$J84,"✓","✗")))</f>
        <v/>
      </c>
      <c r="L84" s="5"/>
    </row>
    <row r="85" customFormat="false" ht="15" hidden="false" customHeight="false" outlineLevel="0" collapsed="false">
      <c r="A85" s="5"/>
      <c r="B85" s="5"/>
      <c r="C85" s="22"/>
      <c r="D85" s="5"/>
      <c r="E85" s="5"/>
      <c r="F85" s="5"/>
      <c r="G85" s="22"/>
      <c r="H85" s="22"/>
      <c r="I85" s="13" t="str">
        <f aca="false">IF(OR($C85="",$H85=""),"",ROUND(($H85-$C85)*24,1))</f>
        <v/>
      </c>
      <c r="J85" s="23" t="str">
        <f aca="false">IF(OR($C85="",$E85="",$E85="בקשה"),"",WORKDAY.INTL(INT($C85),IF($E85="קריטי",1,3),7)+1-1/1440)</f>
        <v/>
      </c>
      <c r="K85" s="9" t="str">
        <f aca="false">IF($J85="","",IF($G85="","טרם נענה",IF($G85&lt;=$J85,"✓","✗")))</f>
        <v/>
      </c>
      <c r="L85" s="5"/>
    </row>
    <row r="86" customFormat="false" ht="15" hidden="false" customHeight="false" outlineLevel="0" collapsed="false">
      <c r="A86" s="5"/>
      <c r="B86" s="5"/>
      <c r="C86" s="22"/>
      <c r="D86" s="5"/>
      <c r="E86" s="5"/>
      <c r="F86" s="5"/>
      <c r="G86" s="22"/>
      <c r="H86" s="22"/>
      <c r="I86" s="13" t="str">
        <f aca="false">IF(OR($C86="",$H86=""),"",ROUND(($H86-$C86)*24,1))</f>
        <v/>
      </c>
      <c r="J86" s="23" t="str">
        <f aca="false">IF(OR($C86="",$E86="",$E86="בקשה"),"",WORKDAY.INTL(INT($C86),IF($E86="קריטי",1,3),7)+1-1/1440)</f>
        <v/>
      </c>
      <c r="K86" s="9" t="str">
        <f aca="false">IF($J86="","",IF($G86="","טרם נענה",IF($G86&lt;=$J86,"✓","✗")))</f>
        <v/>
      </c>
      <c r="L86" s="5"/>
    </row>
    <row r="87" customFormat="false" ht="15" hidden="false" customHeight="false" outlineLevel="0" collapsed="false">
      <c r="A87" s="5"/>
      <c r="B87" s="5"/>
      <c r="C87" s="22"/>
      <c r="D87" s="5"/>
      <c r="E87" s="5"/>
      <c r="F87" s="5"/>
      <c r="G87" s="22"/>
      <c r="H87" s="22"/>
      <c r="I87" s="13" t="str">
        <f aca="false">IF(OR($C87="",$H87=""),"",ROUND(($H87-$C87)*24,1))</f>
        <v/>
      </c>
      <c r="J87" s="23" t="str">
        <f aca="false">IF(OR($C87="",$E87="",$E87="בקשה"),"",WORKDAY.INTL(INT($C87),IF($E87="קריטי",1,3),7)+1-1/1440)</f>
        <v/>
      </c>
      <c r="K87" s="9" t="str">
        <f aca="false">IF($J87="","",IF($G87="","טרם נענה",IF($G87&lt;=$J87,"✓","✗")))</f>
        <v/>
      </c>
      <c r="L87" s="5"/>
    </row>
    <row r="88" customFormat="false" ht="15" hidden="false" customHeight="false" outlineLevel="0" collapsed="false">
      <c r="A88" s="5"/>
      <c r="B88" s="5"/>
      <c r="C88" s="22"/>
      <c r="D88" s="5"/>
      <c r="E88" s="5"/>
      <c r="F88" s="5"/>
      <c r="G88" s="22"/>
      <c r="H88" s="22"/>
      <c r="I88" s="13" t="str">
        <f aca="false">IF(OR($C88="",$H88=""),"",ROUND(($H88-$C88)*24,1))</f>
        <v/>
      </c>
      <c r="J88" s="23" t="str">
        <f aca="false">IF(OR($C88="",$E88="",$E88="בקשה"),"",WORKDAY.INTL(INT($C88),IF($E88="קריטי",1,3),7)+1-1/1440)</f>
        <v/>
      </c>
      <c r="K88" s="9" t="str">
        <f aca="false">IF($J88="","",IF($G88="","טרם נענה",IF($G88&lt;=$J88,"✓","✗")))</f>
        <v/>
      </c>
      <c r="L88" s="5"/>
    </row>
    <row r="89" customFormat="false" ht="15" hidden="false" customHeight="false" outlineLevel="0" collapsed="false">
      <c r="A89" s="5"/>
      <c r="B89" s="5"/>
      <c r="C89" s="22"/>
      <c r="D89" s="5"/>
      <c r="E89" s="5"/>
      <c r="F89" s="5"/>
      <c r="G89" s="22"/>
      <c r="H89" s="22"/>
      <c r="I89" s="13" t="str">
        <f aca="false">IF(OR($C89="",$H89=""),"",ROUND(($H89-$C89)*24,1))</f>
        <v/>
      </c>
      <c r="J89" s="23" t="str">
        <f aca="false">IF(OR($C89="",$E89="",$E89="בקשה"),"",WORKDAY.INTL(INT($C89),IF($E89="קריטי",1,3),7)+1-1/1440)</f>
        <v/>
      </c>
      <c r="K89" s="9" t="str">
        <f aca="false">IF($J89="","",IF($G89="","טרם נענה",IF($G89&lt;=$J89,"✓","✗")))</f>
        <v/>
      </c>
      <c r="L89" s="5"/>
    </row>
    <row r="90" customFormat="false" ht="15" hidden="false" customHeight="false" outlineLevel="0" collapsed="false">
      <c r="A90" s="5"/>
      <c r="B90" s="5"/>
      <c r="C90" s="22"/>
      <c r="D90" s="5"/>
      <c r="E90" s="5"/>
      <c r="F90" s="5"/>
      <c r="G90" s="22"/>
      <c r="H90" s="22"/>
      <c r="I90" s="13" t="str">
        <f aca="false">IF(OR($C90="",$H90=""),"",ROUND(($H90-$C90)*24,1))</f>
        <v/>
      </c>
      <c r="J90" s="23" t="str">
        <f aca="false">IF(OR($C90="",$E90="",$E90="בקשה"),"",WORKDAY.INTL(INT($C90),IF($E90="קריטי",1,3),7)+1-1/1440)</f>
        <v/>
      </c>
      <c r="K90" s="9" t="str">
        <f aca="false">IF($J90="","",IF($G90="","טרם נענה",IF($G90&lt;=$J90,"✓","✗")))</f>
        <v/>
      </c>
      <c r="L90" s="5"/>
    </row>
    <row r="91" customFormat="false" ht="15" hidden="false" customHeight="false" outlineLevel="0" collapsed="false">
      <c r="A91" s="5"/>
      <c r="B91" s="5"/>
      <c r="C91" s="22"/>
      <c r="D91" s="5"/>
      <c r="E91" s="5"/>
      <c r="F91" s="5"/>
      <c r="G91" s="22"/>
      <c r="H91" s="22"/>
      <c r="I91" s="13" t="str">
        <f aca="false">IF(OR($C91="",$H91=""),"",ROUND(($H91-$C91)*24,1))</f>
        <v/>
      </c>
      <c r="J91" s="23" t="str">
        <f aca="false">IF(OR($C91="",$E91="",$E91="בקשה"),"",WORKDAY.INTL(INT($C91),IF($E91="קריטי",1,3),7)+1-1/1440)</f>
        <v/>
      </c>
      <c r="K91" s="9" t="str">
        <f aca="false">IF($J91="","",IF($G91="","טרם נענה",IF($G91&lt;=$J91,"✓","✗")))</f>
        <v/>
      </c>
      <c r="L91" s="5"/>
    </row>
    <row r="92" customFormat="false" ht="15" hidden="false" customHeight="false" outlineLevel="0" collapsed="false">
      <c r="A92" s="5"/>
      <c r="B92" s="5"/>
      <c r="C92" s="22"/>
      <c r="D92" s="5"/>
      <c r="E92" s="5"/>
      <c r="F92" s="5"/>
      <c r="G92" s="22"/>
      <c r="H92" s="22"/>
      <c r="I92" s="13" t="str">
        <f aca="false">IF(OR($C92="",$H92=""),"",ROUND(($H92-$C92)*24,1))</f>
        <v/>
      </c>
      <c r="J92" s="23" t="str">
        <f aca="false">IF(OR($C92="",$E92="",$E92="בקשה"),"",WORKDAY.INTL(INT($C92),IF($E92="קריטי",1,3),7)+1-1/1440)</f>
        <v/>
      </c>
      <c r="K92" s="9" t="str">
        <f aca="false">IF($J92="","",IF($G92="","טרם נענה",IF($G92&lt;=$J92,"✓","✗")))</f>
        <v/>
      </c>
      <c r="L92" s="5"/>
    </row>
    <row r="93" customFormat="false" ht="15" hidden="false" customHeight="false" outlineLevel="0" collapsed="false">
      <c r="A93" s="5"/>
      <c r="B93" s="5"/>
      <c r="C93" s="22"/>
      <c r="D93" s="5"/>
      <c r="E93" s="5"/>
      <c r="F93" s="5"/>
      <c r="G93" s="22"/>
      <c r="H93" s="22"/>
      <c r="I93" s="13" t="str">
        <f aca="false">IF(OR($C93="",$H93=""),"",ROUND(($H93-$C93)*24,1))</f>
        <v/>
      </c>
      <c r="J93" s="23" t="str">
        <f aca="false">IF(OR($C93="",$E93="",$E93="בקשה"),"",WORKDAY.INTL(INT($C93),IF($E93="קריטי",1,3),7)+1-1/1440)</f>
        <v/>
      </c>
      <c r="K93" s="9" t="str">
        <f aca="false">IF($J93="","",IF($G93="","טרם נענה",IF($G93&lt;=$J93,"✓","✗")))</f>
        <v/>
      </c>
      <c r="L93" s="5"/>
    </row>
    <row r="94" customFormat="false" ht="15" hidden="false" customHeight="false" outlineLevel="0" collapsed="false">
      <c r="A94" s="5"/>
      <c r="B94" s="5"/>
      <c r="C94" s="22"/>
      <c r="D94" s="5"/>
      <c r="E94" s="5"/>
      <c r="F94" s="5"/>
      <c r="G94" s="22"/>
      <c r="H94" s="22"/>
      <c r="I94" s="13" t="str">
        <f aca="false">IF(OR($C94="",$H94=""),"",ROUND(($H94-$C94)*24,1))</f>
        <v/>
      </c>
      <c r="J94" s="23" t="str">
        <f aca="false">IF(OR($C94="",$E94="",$E94="בקשה"),"",WORKDAY.INTL(INT($C94),IF($E94="קריטי",1,3),7)+1-1/1440)</f>
        <v/>
      </c>
      <c r="K94" s="9" t="str">
        <f aca="false">IF($J94="","",IF($G94="","טרם נענה",IF($G94&lt;=$J94,"✓","✗")))</f>
        <v/>
      </c>
      <c r="L94" s="5"/>
    </row>
    <row r="95" customFormat="false" ht="15" hidden="false" customHeight="false" outlineLevel="0" collapsed="false">
      <c r="A95" s="5"/>
      <c r="B95" s="5"/>
      <c r="C95" s="22"/>
      <c r="D95" s="5"/>
      <c r="E95" s="5"/>
      <c r="F95" s="5"/>
      <c r="G95" s="22"/>
      <c r="H95" s="22"/>
      <c r="I95" s="13" t="str">
        <f aca="false">IF(OR($C95="",$H95=""),"",ROUND(($H95-$C95)*24,1))</f>
        <v/>
      </c>
      <c r="J95" s="23" t="str">
        <f aca="false">IF(OR($C95="",$E95="",$E95="בקשה"),"",WORKDAY.INTL(INT($C95),IF($E95="קריטי",1,3),7)+1-1/1440)</f>
        <v/>
      </c>
      <c r="K95" s="9" t="str">
        <f aca="false">IF($J95="","",IF($G95="","טרם נענה",IF($G95&lt;=$J95,"✓","✗")))</f>
        <v/>
      </c>
      <c r="L95" s="5"/>
    </row>
    <row r="96" customFormat="false" ht="15" hidden="false" customHeight="false" outlineLevel="0" collapsed="false">
      <c r="A96" s="5"/>
      <c r="B96" s="5"/>
      <c r="C96" s="22"/>
      <c r="D96" s="5"/>
      <c r="E96" s="5"/>
      <c r="F96" s="5"/>
      <c r="G96" s="22"/>
      <c r="H96" s="22"/>
      <c r="I96" s="13" t="str">
        <f aca="false">IF(OR($C96="",$H96=""),"",ROUND(($H96-$C96)*24,1))</f>
        <v/>
      </c>
      <c r="J96" s="23" t="str">
        <f aca="false">IF(OR($C96="",$E96="",$E96="בקשה"),"",WORKDAY.INTL(INT($C96),IF($E96="קריטי",1,3),7)+1-1/1440)</f>
        <v/>
      </c>
      <c r="K96" s="9" t="str">
        <f aca="false">IF($J96="","",IF($G96="","טרם נענה",IF($G96&lt;=$J96,"✓","✗")))</f>
        <v/>
      </c>
      <c r="L96" s="5"/>
    </row>
    <row r="97" customFormat="false" ht="15" hidden="false" customHeight="false" outlineLevel="0" collapsed="false">
      <c r="A97" s="5"/>
      <c r="B97" s="5"/>
      <c r="C97" s="22"/>
      <c r="D97" s="5"/>
      <c r="E97" s="5"/>
      <c r="F97" s="5"/>
      <c r="G97" s="22"/>
      <c r="H97" s="22"/>
      <c r="I97" s="13" t="str">
        <f aca="false">IF(OR($C97="",$H97=""),"",ROUND(($H97-$C97)*24,1))</f>
        <v/>
      </c>
      <c r="J97" s="23" t="str">
        <f aca="false">IF(OR($C97="",$E97="",$E97="בקשה"),"",WORKDAY.INTL(INT($C97),IF($E97="קריטי",1,3),7)+1-1/1440)</f>
        <v/>
      </c>
      <c r="K97" s="9" t="str">
        <f aca="false">IF($J97="","",IF($G97="","טרם נענה",IF($G97&lt;=$J97,"✓","✗")))</f>
        <v/>
      </c>
      <c r="L97" s="5"/>
    </row>
    <row r="98" customFormat="false" ht="15" hidden="false" customHeight="false" outlineLevel="0" collapsed="false">
      <c r="A98" s="5"/>
      <c r="B98" s="5"/>
      <c r="C98" s="22"/>
      <c r="D98" s="5"/>
      <c r="E98" s="5"/>
      <c r="F98" s="5"/>
      <c r="G98" s="22"/>
      <c r="H98" s="22"/>
      <c r="I98" s="13" t="str">
        <f aca="false">IF(OR($C98="",$H98=""),"",ROUND(($H98-$C98)*24,1))</f>
        <v/>
      </c>
      <c r="J98" s="23" t="str">
        <f aca="false">IF(OR($C98="",$E98="",$E98="בקשה"),"",WORKDAY.INTL(INT($C98),IF($E98="קריטי",1,3),7)+1-1/1440)</f>
        <v/>
      </c>
      <c r="K98" s="9" t="str">
        <f aca="false">IF($J98="","",IF($G98="","טרם נענה",IF($G98&lt;=$J98,"✓","✗")))</f>
        <v/>
      </c>
      <c r="L98" s="5"/>
    </row>
    <row r="99" customFormat="false" ht="15" hidden="false" customHeight="false" outlineLevel="0" collapsed="false">
      <c r="A99" s="5"/>
      <c r="B99" s="5"/>
      <c r="C99" s="22"/>
      <c r="D99" s="5"/>
      <c r="E99" s="5"/>
      <c r="F99" s="5"/>
      <c r="G99" s="22"/>
      <c r="H99" s="22"/>
      <c r="I99" s="13" t="str">
        <f aca="false">IF(OR($C99="",$H99=""),"",ROUND(($H99-$C99)*24,1))</f>
        <v/>
      </c>
      <c r="J99" s="23" t="str">
        <f aca="false">IF(OR($C99="",$E99="",$E99="בקשה"),"",WORKDAY.INTL(INT($C99),IF($E99="קריטי",1,3),7)+1-1/1440)</f>
        <v/>
      </c>
      <c r="K99" s="9" t="str">
        <f aca="false">IF($J99="","",IF($G99="","טרם נענה",IF($G99&lt;=$J99,"✓","✗")))</f>
        <v/>
      </c>
      <c r="L99" s="5"/>
    </row>
    <row r="100" customFormat="false" ht="15" hidden="false" customHeight="false" outlineLevel="0" collapsed="false">
      <c r="A100" s="5"/>
      <c r="B100" s="5"/>
      <c r="C100" s="22"/>
      <c r="D100" s="5"/>
      <c r="E100" s="5"/>
      <c r="F100" s="5"/>
      <c r="G100" s="22"/>
      <c r="H100" s="22"/>
      <c r="I100" s="13" t="str">
        <f aca="false">IF(OR($C100="",$H100=""),"",ROUND(($H100-$C100)*24,1))</f>
        <v/>
      </c>
      <c r="J100" s="23" t="str">
        <f aca="false">IF(OR($C100="",$E100="",$E100="בקשה"),"",WORKDAY.INTL(INT($C100),IF($E100="קריטי",1,3),7)+1-1/1440)</f>
        <v/>
      </c>
      <c r="K100" s="9" t="str">
        <f aca="false">IF($J100="","",IF($G100="","טרם נענה",IF($G100&lt;=$J100,"✓","✗")))</f>
        <v/>
      </c>
      <c r="L100" s="5"/>
    </row>
    <row r="101" customFormat="false" ht="15" hidden="false" customHeight="false" outlineLevel="0" collapsed="false">
      <c r="A101" s="5"/>
      <c r="B101" s="5"/>
      <c r="C101" s="22"/>
      <c r="D101" s="5"/>
      <c r="E101" s="5"/>
      <c r="F101" s="5"/>
      <c r="G101" s="22"/>
      <c r="H101" s="22"/>
      <c r="I101" s="13" t="str">
        <f aca="false">IF(OR($C101="",$H101=""),"",ROUND(($H101-$C101)*24,1))</f>
        <v/>
      </c>
      <c r="J101" s="23" t="str">
        <f aca="false">IF(OR($C101="",$E101="",$E101="בקשה"),"",WORKDAY.INTL(INT($C101),IF($E101="קריטי",1,3),7)+1-1/1440)</f>
        <v/>
      </c>
      <c r="K101" s="9" t="str">
        <f aca="false">IF($J101="","",IF($G101="","טרם נענה",IF($G101&lt;=$J101,"✓","✗")))</f>
        <v/>
      </c>
      <c r="L101" s="5"/>
    </row>
  </sheetData>
  <conditionalFormatting sqref="K2:K101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dataValidations count="2">
    <dataValidation allowBlank="true" errorStyle="stop" operator="between" showDropDown="false" showErrorMessage="false" showInputMessage="false" sqref="E2:E101" type="list">
      <formula1>"קריטי,אזהרה,בקשה"</formula1>
      <formula2>0</formula2>
    </dataValidation>
    <dataValidation allowBlank="true" errorStyle="stop" operator="between" showDropDown="false" showErrorMessage="false" showInputMessage="false" sqref="F2:F101" type="list">
      <formula1>"פתוחה,סגורה"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5" min="5" style="0" width="18"/>
  </cols>
  <sheetData>
    <row r="1" customFormat="false" ht="39.75" hidden="false" customHeight="true" outlineLevel="0" collapsed="false">
      <c r="A1" s="4" t="s">
        <v>23</v>
      </c>
      <c r="B1" s="4" t="s">
        <v>151</v>
      </c>
      <c r="C1" s="4" t="s">
        <v>152</v>
      </c>
      <c r="E1" s="4" t="s">
        <v>153</v>
      </c>
    </row>
    <row r="2" customFormat="false" ht="15" hidden="false" customHeight="false" outlineLevel="0" collapsed="false">
      <c r="A2" s="24" t="s">
        <v>154</v>
      </c>
      <c r="B2" s="25" t="n">
        <v>5700</v>
      </c>
      <c r="C2" s="25" t="n">
        <v>160</v>
      </c>
      <c r="E2" s="26" t="n">
        <v>0.5</v>
      </c>
    </row>
    <row r="3" customFormat="false" ht="15" hidden="false" customHeight="false" outlineLevel="0" collapsed="false">
      <c r="A3" s="24" t="s">
        <v>62</v>
      </c>
      <c r="B3" s="25" t="n">
        <v>8700</v>
      </c>
      <c r="C3" s="25" t="n">
        <v>220</v>
      </c>
    </row>
    <row r="4" customFormat="false" ht="15" hidden="false" customHeight="false" outlineLevel="0" collapsed="false">
      <c r="A4" s="24" t="s">
        <v>155</v>
      </c>
      <c r="B4" s="25" t="n">
        <v>13150</v>
      </c>
      <c r="C4" s="25" t="n">
        <v>350</v>
      </c>
    </row>
    <row r="6" customFormat="false" ht="15" hidden="false" customHeight="false" outlineLevel="0" collapsed="false">
      <c r="A6" s="20" t="s">
        <v>156</v>
      </c>
    </row>
    <row r="8" customFormat="false" ht="15" hidden="false" customHeight="false" outlineLevel="0" collapsed="false">
      <c r="A8" s="27" t="s">
        <v>157</v>
      </c>
    </row>
    <row r="9" customFormat="false" ht="15" hidden="false" customHeight="false" outlineLevel="0" collapsed="false">
      <c r="A9" s="28" t="s">
        <v>158</v>
      </c>
      <c r="B9" s="29" t="n">
        <f aca="false">COUNTIF(לקוחות!$S$2:$S$21,"פעיל")</f>
        <v>1</v>
      </c>
    </row>
    <row r="10" customFormat="false" ht="15" hidden="false" customHeight="false" outlineLevel="0" collapsed="false">
      <c r="A10" s="28" t="s">
        <v>159</v>
      </c>
      <c r="B10" s="30" t="n">
        <f aca="false">SUMIFS(לקוחות!$G$2:$G$21,לקוחות!$S$2:$S$21,"פעיל")</f>
        <v>220</v>
      </c>
    </row>
    <row r="11" customFormat="false" ht="15" hidden="false" customHeight="false" outlineLevel="0" collapsed="false">
      <c r="A11" s="28" t="s">
        <v>160</v>
      </c>
      <c r="B11" s="29" t="n">
        <f aca="false">COUNTIF(פניות!$F$2:$F$500,"פתוחה")</f>
        <v>1</v>
      </c>
    </row>
    <row r="12" customFormat="false" ht="15" hidden="false" customHeight="false" outlineLevel="0" collapsed="false">
      <c r="A12" s="28" t="s">
        <v>161</v>
      </c>
      <c r="B12" s="29" t="n">
        <f aca="false">COUNTIFS(פניות!$E$2:$E$500,"קריטי",פניות!$K$2:$K$500,"✗")</f>
        <v>0</v>
      </c>
    </row>
    <row r="13" customFormat="false" ht="15" hidden="false" customHeight="false" outlineLevel="0" collapsed="false">
      <c r="A13" s="28" t="s">
        <v>162</v>
      </c>
      <c r="B13" s="31" t="n">
        <f aca="false">SUM(שעות!$D$2:$D$500)-SUMIFS(שעות!$D$2:$D$500,שעות!$B$2:$B$500,"תמיכה (ריטיינר)")</f>
        <v>18.5</v>
      </c>
    </row>
    <row r="14" customFormat="false" ht="15" hidden="false" customHeight="false" outlineLevel="0" collapsed="false">
      <c r="A14" s="28" t="s">
        <v>163</v>
      </c>
      <c r="B14" s="30" t="n">
        <f aca="false">SUM(לקוחות!$N$2:$N$21)</f>
        <v>0</v>
      </c>
    </row>
    <row r="15" customFormat="false" ht="15" hidden="false" customHeight="false" outlineLevel="0" collapsed="false">
      <c r="A15" s="28" t="s">
        <v>164</v>
      </c>
      <c r="B15" s="31" t="n">
        <f aca="false">SUMIFS(שעות!$D$2:$D$500,שעות!$B$2:$B$500,"תמיכה (ריטיינר)")</f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2026-10-18T04:31:05Z</dcterms:created>
  <dc:creator>openpyxl</dc:creator>
  <dc:description/>
  <dc:language>en-US</dc:language>
  <cp:lastModifiedBy/>
  <dcterms:modified xsi:type="dcterms:W3CDTF">2026-10-18T04:31:05Z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