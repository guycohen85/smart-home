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סבר" sheetId="1" state="visible" r:id="rId3"/>
    <sheet name="לקוחות" sheetId="2" state="visible" r:id="rId4"/>
    <sheet name="Checklist" sheetId="3" state="visible" r:id="rId5"/>
    <sheet name="שעות" sheetId="4" state="visible" r:id="rId6"/>
    <sheet name="פניות" sheetId="5" state="visible" r:id="rId7"/>
    <sheet name="חבילו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1" authorId="0">
      <text>
        <r>
          <rPr>
            <sz val="10"/>
            <rFont val="FreeSans"/>
            <family val="2"/>
          </rPr>
          <t xml:space="preserve">מחושב אוטומטית מלשונית </t>
        </r>
        <r>
          <rPr>
            <sz val="10"/>
            <rFont val="Arial"/>
            <family val="2"/>
          </rPr>
          <t xml:space="preserve">Checklist. </t>
        </r>
        <r>
          <rPr>
            <sz val="10"/>
            <rFont val="FreeSans"/>
            <family val="2"/>
          </rPr>
          <t xml:space="preserve">מופיע רק ללקוחות בשורות </t>
        </r>
        <r>
          <rPr>
            <sz val="10"/>
            <rFont val="Arial"/>
            <family val="2"/>
          </rPr>
          <t xml:space="preserve">2–6 (5 הלקוחות הראשונים).</t>
        </r>
      </text>
    </comment>
  </commentList>
</comments>
</file>

<file path=xl/sharedStrings.xml><?xml version="1.0" encoding="utf-8"?>
<sst xmlns="http://schemas.openxmlformats.org/spreadsheetml/2006/main" count="202" uniqueCount="138">
  <si>
    <t xml:space="preserve">OneHome — גיליון מעקב לקוחות (קובץ דוגמה)</t>
  </si>
  <si>
    <t xml:space="preserve">הקובץ הזה מכיל נתוני דוגמה בלבד (לקוח C001, לא אמיתי). כדי להשתמש בו: לשמור עותק במקום פרטי, למחוק את שורת הדוגמה בכל לשונית, ולהתחיל למלא.</t>
  </si>
  <si>
    <t xml:space="preserve">איך לקרוא את הצבעים</t>
  </si>
  <si>
    <t xml:space="preserve">טקסט כחול = תא שממלאים ידנית.   טקסט שחור על רקע אפור = נוסחה, לא לערוך.</t>
  </si>
  <si>
    <t xml:space="preserve">הלשוניות</t>
  </si>
  <si>
    <t xml:space="preserve">לקוחות — שורה לכל לקוח. נוסחאות מוכנות עד שורה 21. שדות ה-IP, MAC, גרסת HA, R2 ו-Sentry הם אלה ש-PRD 4 (כלי ניהול פנימי) יצטרך, כך שבהמשך אפשר לייבא אותם.</t>
  </si>
  <si>
    <t xml:space="preserve">Checklist — עמודה לכל לקוח, נמשכת אוטומטית מלשונית לקוחות (5 הלקוחות הראשונים). מבוסס על PRD 3, סעיפים B ו-D. "לא רלוונטי" לא נספר באחוז ההתקדמות.</t>
  </si>
  <si>
    <t xml:space="preserve">שעות — שורה לכל שלב עבודה. זה המדד "שעות בפועל לכל שלב" מ-PRD 3, והבסיס לחישוב הכנסה לשעה.</t>
  </si>
  <si>
    <t xml:space="preserve">פניות — יומן פניות אחרי המסירה. רמות החומרה כאן (קריטית/רגילה) הן הצעה — להתאים לרמות ה-SLA המדויקות ב-PRD 1.</t>
  </si>
  <si>
    <t xml:space="preserve">חבילות — מחירי ההתקנה והריטיינר (מקור: PRD 1, 16/09/2026) וסיכום קצר: לקוחות פעילים, הכנסה חודשית וסה"כ פניות פתוחות.</t>
  </si>
  <si>
    <t xml:space="preserve">כללים חשובים</t>
  </si>
  <si>
    <t xml:space="preserve">1. אין סודות בקובץ. סיסמאות WiFi, סיסמאות אדמין של HA וסיסמת הצפנת הגיבויים — רק במנהל סיסמאות. בעמודה "הפניה לסודות" כותבים איפה הם שמורים.</t>
  </si>
  <si>
    <t xml:space="preserve">2. לא לשמור את הקובץ האמיתי ב-repo של smart-home או ב-plan-site (האתר ב-GitHub Pages עלול להיות נגיש ברשת) ולא בחשבון OneDrive של המעסיק.</t>
  </si>
  <si>
    <t xml:space="preserve">3. "הכנסת התקנה לשעה" היא מחיר ההתקנה חלקי שעות העבודה, לפני עלות החומרה והחשמלאי — זה לא רווח.</t>
  </si>
  <si>
    <t xml:space="preserve">4. תחילת ריטיינר = תאריך אישור קבלה חתום (החלטה ב-PRD 3, סעיף B).</t>
  </si>
  <si>
    <t xml:space="preserve">מזהה לקוח</t>
  </si>
  <si>
    <t xml:space="preserve">שם לקוח</t>
  </si>
  <si>
    <t xml:space="preserve">טלפון</t>
  </si>
  <si>
    <t xml:space="preserve">עיר / אזור</t>
  </si>
  <si>
    <t xml:space="preserve">חבילה</t>
  </si>
  <si>
    <t xml:space="preserve">מחיר התקנה</t>
  </si>
  <si>
    <t xml:space="preserve">ריטיינר חודשי</t>
  </si>
  <si>
    <t xml:space="preserve">תאריך סקר בית</t>
  </si>
  <si>
    <t xml:space="preserve">תאריך התקנה</t>
  </si>
  <si>
    <t xml:space="preserve">תאריך אישור קבלה</t>
  </si>
  <si>
    <t xml:space="preserve">תחילת ריטיינר (= אישור קבלה)</t>
  </si>
  <si>
    <t xml:space="preserve">סטטוס</t>
  </si>
  <si>
    <t xml:space="preserve">IP קבוע</t>
  </si>
  <si>
    <t xml:space="preserve">MAC של ה-HA</t>
  </si>
  <si>
    <t xml:space="preserve">גרסת HA</t>
  </si>
  <si>
    <t xml:space="preserve">Nabu Casa</t>
  </si>
  <si>
    <t xml:space="preserve">שירותי Nabu Casa שנבחרו</t>
  </si>
  <si>
    <t xml:space="preserve">שם bucket ב-R2</t>
  </si>
  <si>
    <t xml:space="preserve">environment ב-Sentry</t>
  </si>
  <si>
    <t xml:space="preserve">עבודת חשמל</t>
  </si>
  <si>
    <t xml:space="preserve">חשמלאי</t>
  </si>
  <si>
    <t xml:space="preserve">התקדמות checklist</t>
  </si>
  <si>
    <t xml:space="preserve">סה"כ שעות התקנה</t>
  </si>
  <si>
    <t xml:space="preserve">הכנסת התקנה לשעה (לפני חומרה)</t>
  </si>
  <si>
    <t xml:space="preserve">פניות פתוחות</t>
  </si>
  <si>
    <t xml:space="preserve">הפניה לסודות (מנהל סיסמאות)</t>
  </si>
  <si>
    <t xml:space="preserve">הערות</t>
  </si>
  <si>
    <t xml:space="preserve">C001</t>
  </si>
  <si>
    <t xml:space="preserve">לקוח לדוגמה (לא אמיתי)</t>
  </si>
  <si>
    <t xml:space="preserve">050-0000000</t>
  </si>
  <si>
    <t xml:space="preserve">תל אביב</t>
  </si>
  <si>
    <t xml:space="preserve">SafeHome</t>
  </si>
  <si>
    <t xml:space="preserve">פעיל</t>
  </si>
  <si>
    <t xml:space="preserve">192.168.1.50</t>
  </si>
  <si>
    <t xml:space="preserve">AA:BB:CC:DD:EE:FF</t>
  </si>
  <si>
    <t xml:space="preserve">2026.9.3</t>
  </si>
  <si>
    <t xml:space="preserve">לא</t>
  </si>
  <si>
    <t xml:space="preserve">—</t>
  </si>
  <si>
    <t xml:space="preserve">onehome-c001-backups</t>
  </si>
  <si>
    <t xml:space="preserve">c001-sample</t>
  </si>
  <si>
    <t xml:space="preserve">כן</t>
  </si>
  <si>
    <t xml:space="preserve">חשמלאי א׳ (לדוגמה)</t>
  </si>
  <si>
    <t xml:space="preserve">Bitwarden: OneHome/C001 (לדוגמה)</t>
  </si>
  <si>
    <t xml:space="preserve">נתוני דוגמה בלבד — למחוק את השורה לפני שימוש אמיתי</t>
  </si>
  <si>
    <t xml:space="preserve">קבוצה</t>
  </si>
  <si>
    <t xml:space="preserve">פריט</t>
  </si>
  <si>
    <t xml:space="preserve">רשת וגישה מקומית</t>
  </si>
  <si>
    <t xml:space="preserve">AP/Client Isolation כבוי בראוטר</t>
  </si>
  <si>
    <t xml:space="preserve">✓</t>
  </si>
  <si>
    <t xml:space="preserve">רשת שטוחה אחת (או VLAN מאושר ללקוח מיוחד)</t>
  </si>
  <si>
    <t xml:space="preserve">DHCP Reservation לפי MAC בראוטר</t>
  </si>
  <si>
    <t xml:space="preserve">Internal URL מוגדר לפי ה-IP הקבוע</t>
  </si>
  <si>
    <t xml:space="preserve">אפליקציית Companion מזהה את ה-SSID הביתי</t>
  </si>
  <si>
    <t xml:space="preserve">גישת אדמין לראוטר אומתה לפני ההתקנה</t>
  </si>
  <si>
    <t xml:space="preserve">Nabu Casa (רק אם הלקוח בחר)</t>
  </si>
  <si>
    <t xml:space="preserve">הלקוח פתח חשבון בשמו ובכרטיס שלו</t>
  </si>
  <si>
    <t xml:space="preserve">לא רלוונטי</t>
  </si>
  <si>
    <t xml:space="preserve">External URL מוגדר</t>
  </si>
  <si>
    <t xml:space="preserve">שירותים נבחרו בנפרד (Alexa/Google, גיבוי ענן, Webhooks)</t>
  </si>
  <si>
    <t xml:space="preserve">TTS/STT ענני — החלטה מוצהרת (ברירת מחדל: מקומי)</t>
  </si>
  <si>
    <t xml:space="preserve">WebRTC למצלמות — החלטה מוצהרת (ברירת מחדל: כבוי)</t>
  </si>
  <si>
    <t xml:space="preserve">פרטיות וגיבויים</t>
  </si>
  <si>
    <t xml:space="preserve">מסמך פרטיות נחתם</t>
  </si>
  <si>
    <t xml:space="preserve">bucket מבודד ב-R2 נוצר</t>
  </si>
  <si>
    <t xml:space="preserve">סיסמת הצפנה ייחודית נשמרה במנהל סיסמאות</t>
  </si>
  <si>
    <t xml:space="preserve">גיבוי ראשון הצליח ל-R2</t>
  </si>
  <si>
    <t xml:space="preserve">עותק גיבוי מקומי נשמר בבית</t>
  </si>
  <si>
    <t xml:space="preserve">בדיקות קבלה — "הבית חי"</t>
  </si>
  <si>
    <t xml:space="preserve">כל מכשירי החבילה מחוברים, בשמות ברורים ופועלים</t>
  </si>
  <si>
    <t xml:space="preserve">בדיקת ניתוק אינטרנט: אוטומציה מקומית ממשיכה לרוץ</t>
  </si>
  <si>
    <t xml:space="preserve">Push בדיקה התקבל בטלפון הלקוח מחוץ ל-WiFi הביתי</t>
  </si>
  <si>
    <t xml:space="preserve">חיישן הצפה נבדק (מים על החיישן מפעילים התראה)</t>
  </si>
  <si>
    <t xml:space="preserve">גלאי עשן וסירנה מקומית נבדקו</t>
  </si>
  <si>
    <t xml:space="preserve">כניסה מרחוק מדאטה סלולרי (אם נרכשה גישה מרחוק)</t>
  </si>
  <si>
    <t xml:space="preserve">הלקוח ביצע בעצמו פעולה אחת (אור / פתיחת קריאה)</t>
  </si>
  <si>
    <t xml:space="preserve">ניטור Alert פועל</t>
  </si>
  <si>
    <t xml:space="preserve">IP, MAC וגרסת HA נרשמו בלשונית לקוחות</t>
  </si>
  <si>
    <t xml:space="preserve">חוזי ומסירה</t>
  </si>
  <si>
    <t xml:space="preserve">אישור כתוב מהחשמלאי (אם הייתה עבודת חשמל)</t>
  </si>
  <si>
    <t xml:space="preserve">חבילת מסירה נמסרה ללקוח</t>
  </si>
  <si>
    <t xml:space="preserve">אישור קבלה חתום — מתחיל ריטיינר ו-SLA</t>
  </si>
  <si>
    <t xml:space="preserve">התקדמות (לא כולל "לא רלוונטי")</t>
  </si>
  <si>
    <t xml:space="preserve">שלב</t>
  </si>
  <si>
    <t xml:space="preserve">תאריך</t>
  </si>
  <si>
    <t xml:space="preserve">שעות בפועל</t>
  </si>
  <si>
    <t xml:space="preserve">הערה</t>
  </si>
  <si>
    <t xml:space="preserve">שורה לכל שלב עבודה. הסכום לכל לקוח מוצג בלשונית לקוחות.</t>
  </si>
  <si>
    <t xml:space="preserve">פגישת מכירה</t>
  </si>
  <si>
    <t xml:space="preserve">פגישה ראשונה בבית הלקוח</t>
  </si>
  <si>
    <t xml:space="preserve">סקר בית</t>
  </si>
  <si>
    <t xml:space="preserve">הצעה וחתימה</t>
  </si>
  <si>
    <t xml:space="preserve">כולל מסמך פרטיות</t>
  </si>
  <si>
    <t xml:space="preserve">הכנה אצל גיא</t>
  </si>
  <si>
    <t xml:space="preserve">HA, R2, גיבוי ראשון</t>
  </si>
  <si>
    <t xml:space="preserve">התקנה ורשת</t>
  </si>
  <si>
    <t xml:space="preserve">בדיקות קבלה</t>
  </si>
  <si>
    <t xml:space="preserve">מסירה והדרכה</t>
  </si>
  <si>
    <t xml:space="preserve">מזהה פנייה</t>
  </si>
  <si>
    <t xml:space="preserve">תאריך פתיחה</t>
  </si>
  <si>
    <t xml:space="preserve">נושא</t>
  </si>
  <si>
    <t xml:space="preserve">חומרה</t>
  </si>
  <si>
    <t xml:space="preserve">תאריך פתרון</t>
  </si>
  <si>
    <t xml:space="preserve">זמן פתרון (שעות)</t>
  </si>
  <si>
    <t xml:space="preserve">P001</t>
  </si>
  <si>
    <t xml:space="preserve">התראת הצפה לא הגיעה לטלפון של בת הזוג</t>
  </si>
  <si>
    <t xml:space="preserve">קריטית</t>
  </si>
  <si>
    <t xml:space="preserve">סגורה</t>
  </si>
  <si>
    <t xml:space="preserve">נתוני דוגמה — הוגדרה מחדש הרשאת התראות באפליקציה</t>
  </si>
  <si>
    <t xml:space="preserve">P002</t>
  </si>
  <si>
    <t xml:space="preserve">שאלה על הוספת מנורה לדשבורד</t>
  </si>
  <si>
    <t xml:space="preserve">רגילה</t>
  </si>
  <si>
    <t xml:space="preserve">פתוחה</t>
  </si>
  <si>
    <t xml:space="preserve">נתוני דוגמה</t>
  </si>
  <si>
    <t xml:space="preserve">מחיר התקנה (₪)</t>
  </si>
  <si>
    <t xml:space="preserve">ריטיינר חודשי (₪)</t>
  </si>
  <si>
    <t xml:space="preserve">EcoHome</t>
  </si>
  <si>
    <t xml:space="preserve">EliteHome</t>
  </si>
  <si>
    <t xml:space="preserve">מקור המחירים: PRD 1 / תמחור מעודכן ב-16/09/2026. אם התמחור משתנה — לעדכן כאן בלבד (תאים כחולים).</t>
  </si>
  <si>
    <t xml:space="preserve">סיכום</t>
  </si>
  <si>
    <t xml:space="preserve">לקוחות פעילים</t>
  </si>
  <si>
    <t xml:space="preserve">הכנסה חודשית מריטיינר (MRR)</t>
  </si>
  <si>
    <t xml:space="preserve">סה"כ פניות פתוחות</t>
  </si>
  <si>
    <t xml:space="preserve">סה"כ שעות התקנה שנרשמו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</si>
</sst>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₪&quot;"/>
    <numFmt numFmtId="166" formatCode="dd/mm/yyyy"/>
    <numFmt numFmtId="167" formatCode="0%"/>
    <numFmt numFmtId="168" formatCode="0.0"/>
    <numFmt numFmtId="169" formatCode="General"/>
    <numFmt numFmtId="170" formatCode="dd/mm/yyyy\ hh:mm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9"/>
      <color rgb="FF64748B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5E7EB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E5E7EB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2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24"/>
    <col collapsed="false" customWidth="true" hidden="false" outlineLevel="0" max="19" min="19" style="0" width="18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16"/>
    <col collapsed="false" customWidth="true" hidden="false" outlineLevel="0" max="25" min="25" style="0" width="10"/>
    <col collapsed="false" customWidth="true" hidden="false" outlineLevel="0" max="27" min="26" style="0" width="30"/>
  </cols>
  <sheetData>
    <row r="1" customFormat="false" ht="33.7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</row>
    <row r="2" customFormat="false" ht="23.85" hidden="false" customHeight="false" outlineLevel="0" collapsed="false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6" t="n">
        <f aca="false">IF($E2="","",IFERROR(INDEX(חבילות!$B$2:$B$4,MATCH($E2,חבילות!$A$2:$A$4,0)),""))</f>
        <v>8700</v>
      </c>
      <c r="G2" s="6" t="n">
        <f aca="false">IF($E2="","",IFERROR(INDEX(חבילות!$C$2:$C$4,MATCH($E2,חבילות!$A$2:$A$4,0)),""))</f>
        <v>220</v>
      </c>
      <c r="H2" s="7" t="n">
        <v>46300</v>
      </c>
      <c r="I2" s="7" t="n">
        <v>46314</v>
      </c>
      <c r="J2" s="7" t="n">
        <v>46314</v>
      </c>
      <c r="K2" s="8" t="n">
        <f aca="false">IF($J2="","",$J2)</f>
        <v>46314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9" t="n">
        <f aca="false">IF($A2="","",IFERROR(INDEX(Checklist!$C$30:$G$30,MATCH($A2,Checklist!$C$1:$G$1,0)),""))</f>
        <v>1</v>
      </c>
      <c r="W2" s="10" t="n">
        <f aca="false">IF($A2="","",SUMIFS(שעות!$D$2:$D$500,שעות!$A$2:$A$500,$A2))</f>
        <v>15.5</v>
      </c>
      <c r="X2" s="6" t="n">
        <f aca="false">IF($A2="","",IFERROR($F2/$W2,""))</f>
        <v>561.290322580645</v>
      </c>
      <c r="Y2" s="11" t="n">
        <f aca="false">IF($A2="","",COUNTIFS(פניות!$B$2:$B$500,$A2,פניות!$F$2:$F$500,"פתוחה"))</f>
        <v>1</v>
      </c>
      <c r="Z2" s="5" t="s">
        <v>57</v>
      </c>
      <c r="AA2" s="5" t="s">
        <v>58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6" t="str">
        <f aca="false">IF($E3="","",IFERROR(INDEX(חבילות!$B$2:$B$4,MATCH($E3,חבילות!$A$2:$A$4,0)),""))</f>
        <v/>
      </c>
      <c r="G3" s="6" t="str">
        <f aca="false">IF($E3="","",IFERROR(INDEX(חבילות!$C$2:$C$4,MATCH($E3,חבילות!$A$2:$A$4,0)),""))</f>
        <v/>
      </c>
      <c r="H3" s="7"/>
      <c r="I3" s="7"/>
      <c r="J3" s="7"/>
      <c r="K3" s="8" t="str">
        <f aca="false">IF($J3="","",$J3)</f>
        <v/>
      </c>
      <c r="L3" s="5"/>
      <c r="M3" s="5"/>
      <c r="N3" s="5"/>
      <c r="O3" s="5"/>
      <c r="P3" s="5"/>
      <c r="Q3" s="5"/>
      <c r="R3" s="5"/>
      <c r="S3" s="5"/>
      <c r="T3" s="5"/>
      <c r="U3" s="5"/>
      <c r="V3" s="9" t="str">
        <f aca="false">IF($A3="","",IFERROR(INDEX(Checklist!$C$30:$G$30,MATCH($A3,Checklist!$C$1:$G$1,0)),""))</f>
        <v/>
      </c>
      <c r="W3" s="10" t="str">
        <f aca="false">IF($A3="","",SUMIFS(שעות!$D$2:$D$500,שעות!$A$2:$A$500,$A3))</f>
        <v/>
      </c>
      <c r="X3" s="6" t="str">
        <f aca="false">IF($A3="","",IFERROR($F3/$W3,""))</f>
        <v/>
      </c>
      <c r="Y3" s="11" t="str">
        <f aca="false">IF($A3="","",COUNTIFS(פניות!$B$2:$B$500,$A3,פניות!$F$2:$F$500,"פתוחה"))</f>
        <v/>
      </c>
      <c r="Z3" s="5"/>
      <c r="AA3" s="5"/>
    </row>
    <row r="4" customFormat="false" ht="15" hidden="false" customHeight="false" outlineLevel="0" collapsed="false">
      <c r="A4" s="5"/>
      <c r="B4" s="5"/>
      <c r="C4" s="5"/>
      <c r="D4" s="5"/>
      <c r="E4" s="5"/>
      <c r="F4" s="6" t="str">
        <f aca="false">IF($E4="","",IFERROR(INDEX(חבילות!$B$2:$B$4,MATCH($E4,חבילות!$A$2:$A$4,0)),""))</f>
        <v/>
      </c>
      <c r="G4" s="6" t="str">
        <f aca="false">IF($E4="","",IFERROR(INDEX(חבילות!$C$2:$C$4,MATCH($E4,חבילות!$A$2:$A$4,0)),""))</f>
        <v/>
      </c>
      <c r="H4" s="7"/>
      <c r="I4" s="7"/>
      <c r="J4" s="7"/>
      <c r="K4" s="8" t="str">
        <f aca="false">IF($J4="","",$J4)</f>
        <v/>
      </c>
      <c r="L4" s="5"/>
      <c r="M4" s="5"/>
      <c r="N4" s="5"/>
      <c r="O4" s="5"/>
      <c r="P4" s="5"/>
      <c r="Q4" s="5"/>
      <c r="R4" s="5"/>
      <c r="S4" s="5"/>
      <c r="T4" s="5"/>
      <c r="U4" s="5"/>
      <c r="V4" s="9" t="str">
        <f aca="false">IF($A4="","",IFERROR(INDEX(Checklist!$C$30:$G$30,MATCH($A4,Checklist!$C$1:$G$1,0)),""))</f>
        <v/>
      </c>
      <c r="W4" s="10" t="str">
        <f aca="false">IF($A4="","",SUMIFS(שעות!$D$2:$D$500,שעות!$A$2:$A$500,$A4))</f>
        <v/>
      </c>
      <c r="X4" s="6" t="str">
        <f aca="false">IF($A4="","",IFERROR($F4/$W4,""))</f>
        <v/>
      </c>
      <c r="Y4" s="11" t="str">
        <f aca="false">IF($A4="","",COUNTIFS(פניות!$B$2:$B$500,$A4,פניות!$F$2:$F$500,"פתוחה"))</f>
        <v/>
      </c>
      <c r="Z4" s="5"/>
      <c r="AA4" s="5"/>
    </row>
    <row r="5" customFormat="false" ht="15" hidden="false" customHeight="false" outlineLevel="0" collapsed="false">
      <c r="A5" s="5"/>
      <c r="B5" s="5"/>
      <c r="C5" s="5"/>
      <c r="D5" s="5"/>
      <c r="E5" s="5"/>
      <c r="F5" s="6" t="str">
        <f aca="false">IF($E5="","",IFERROR(INDEX(חבילות!$B$2:$B$4,MATCH($E5,חבילות!$A$2:$A$4,0)),""))</f>
        <v/>
      </c>
      <c r="G5" s="6" t="str">
        <f aca="false">IF($E5="","",IFERROR(INDEX(חבילות!$C$2:$C$4,MATCH($E5,חבילות!$A$2:$A$4,0)),""))</f>
        <v/>
      </c>
      <c r="H5" s="7"/>
      <c r="I5" s="7"/>
      <c r="J5" s="7"/>
      <c r="K5" s="8" t="str">
        <f aca="false">IF($J5="","",$J5)</f>
        <v/>
      </c>
      <c r="L5" s="5"/>
      <c r="M5" s="5"/>
      <c r="N5" s="5"/>
      <c r="O5" s="5"/>
      <c r="P5" s="5"/>
      <c r="Q5" s="5"/>
      <c r="R5" s="5"/>
      <c r="S5" s="5"/>
      <c r="T5" s="5"/>
      <c r="U5" s="5"/>
      <c r="V5" s="9" t="str">
        <f aca="false">IF($A5="","",IFERROR(INDEX(Checklist!$C$30:$G$30,MATCH($A5,Checklist!$C$1:$G$1,0)),""))</f>
        <v/>
      </c>
      <c r="W5" s="10" t="str">
        <f aca="false">IF($A5="","",SUMIFS(שעות!$D$2:$D$500,שעות!$A$2:$A$500,$A5))</f>
        <v/>
      </c>
      <c r="X5" s="6" t="str">
        <f aca="false">IF($A5="","",IFERROR($F5/$W5,""))</f>
        <v/>
      </c>
      <c r="Y5" s="11" t="str">
        <f aca="false">IF($A5="","",COUNTIFS(פניות!$B$2:$B$500,$A5,פניות!$F$2:$F$500,"פתוחה"))</f>
        <v/>
      </c>
      <c r="Z5" s="5"/>
      <c r="AA5" s="5"/>
    </row>
    <row r="6" customFormat="false" ht="15" hidden="false" customHeight="false" outlineLevel="0" collapsed="false">
      <c r="A6" s="5"/>
      <c r="B6" s="5"/>
      <c r="C6" s="5"/>
      <c r="D6" s="5"/>
      <c r="E6" s="5"/>
      <c r="F6" s="6" t="str">
        <f aca="false">IF($E6="","",IFERROR(INDEX(חבילות!$B$2:$B$4,MATCH($E6,חבילות!$A$2:$A$4,0)),""))</f>
        <v/>
      </c>
      <c r="G6" s="6" t="str">
        <f aca="false">IF($E6="","",IFERROR(INDEX(חבילות!$C$2:$C$4,MATCH($E6,חבילות!$A$2:$A$4,0)),""))</f>
        <v/>
      </c>
      <c r="H6" s="7"/>
      <c r="I6" s="7"/>
      <c r="J6" s="7"/>
      <c r="K6" s="8" t="str">
        <f aca="false">IF($J6="","",$J6)</f>
        <v/>
      </c>
      <c r="L6" s="5"/>
      <c r="M6" s="5"/>
      <c r="N6" s="5"/>
      <c r="O6" s="5"/>
      <c r="P6" s="5"/>
      <c r="Q6" s="5"/>
      <c r="R6" s="5"/>
      <c r="S6" s="5"/>
      <c r="T6" s="5"/>
      <c r="U6" s="5"/>
      <c r="V6" s="9" t="str">
        <f aca="false">IF($A6="","",IFERROR(INDEX(Checklist!$C$30:$G$30,MATCH($A6,Checklist!$C$1:$G$1,0)),""))</f>
        <v/>
      </c>
      <c r="W6" s="10" t="str">
        <f aca="false">IF($A6="","",SUMIFS(שעות!$D$2:$D$500,שעות!$A$2:$A$500,$A6))</f>
        <v/>
      </c>
      <c r="X6" s="6" t="str">
        <f aca="false">IF($A6="","",IFERROR($F6/$W6,""))</f>
        <v/>
      </c>
      <c r="Y6" s="11" t="str">
        <f aca="false">IF($A6="","",COUNTIFS(פניות!$B$2:$B$500,$A6,פניות!$F$2:$F$500,"פתוחה"))</f>
        <v/>
      </c>
      <c r="Z6" s="5"/>
      <c r="AA6" s="5"/>
    </row>
    <row r="7" customFormat="false" ht="15" hidden="false" customHeight="false" outlineLevel="0" collapsed="false">
      <c r="A7" s="5"/>
      <c r="B7" s="5"/>
      <c r="C7" s="5"/>
      <c r="D7" s="5"/>
      <c r="E7" s="5"/>
      <c r="F7" s="6" t="str">
        <f aca="false">IF($E7="","",IFERROR(INDEX(חבילות!$B$2:$B$4,MATCH($E7,חבילות!$A$2:$A$4,0)),""))</f>
        <v/>
      </c>
      <c r="G7" s="6" t="str">
        <f aca="false">IF($E7="","",IFERROR(INDEX(חבילות!$C$2:$C$4,MATCH($E7,חבילות!$A$2:$A$4,0)),""))</f>
        <v/>
      </c>
      <c r="H7" s="7"/>
      <c r="I7" s="7"/>
      <c r="J7" s="7"/>
      <c r="K7" s="8" t="str">
        <f aca="false">IF($J7="","",$J7)</f>
        <v/>
      </c>
      <c r="L7" s="5"/>
      <c r="M7" s="5"/>
      <c r="N7" s="5"/>
      <c r="O7" s="5"/>
      <c r="P7" s="5"/>
      <c r="Q7" s="5"/>
      <c r="R7" s="5"/>
      <c r="S7" s="5"/>
      <c r="T7" s="5"/>
      <c r="U7" s="5"/>
      <c r="V7" s="9" t="str">
        <f aca="false">IF($A7="","",IFERROR(INDEX(Checklist!$C$30:$G$30,MATCH($A7,Checklist!$C$1:$G$1,0)),""))</f>
        <v/>
      </c>
      <c r="W7" s="10" t="str">
        <f aca="false">IF($A7="","",SUMIFS(שעות!$D$2:$D$500,שעות!$A$2:$A$500,$A7))</f>
        <v/>
      </c>
      <c r="X7" s="6" t="str">
        <f aca="false">IF($A7="","",IFERROR($F7/$W7,""))</f>
        <v/>
      </c>
      <c r="Y7" s="11" t="str">
        <f aca="false">IF($A7="","",COUNTIFS(פניות!$B$2:$B$500,$A7,פניות!$F$2:$F$500,"פתוחה"))</f>
        <v/>
      </c>
      <c r="Z7" s="5"/>
      <c r="AA7" s="5"/>
    </row>
    <row r="8" customFormat="false" ht="15" hidden="false" customHeight="false" outlineLevel="0" collapsed="false">
      <c r="A8" s="5"/>
      <c r="B8" s="5"/>
      <c r="C8" s="5"/>
      <c r="D8" s="5"/>
      <c r="E8" s="5"/>
      <c r="F8" s="6" t="str">
        <f aca="false">IF($E8="","",IFERROR(INDEX(חבילות!$B$2:$B$4,MATCH($E8,חבילות!$A$2:$A$4,0)),""))</f>
        <v/>
      </c>
      <c r="G8" s="6" t="str">
        <f aca="false">IF($E8="","",IFERROR(INDEX(חבילות!$C$2:$C$4,MATCH($E8,חבילות!$A$2:$A$4,0)),""))</f>
        <v/>
      </c>
      <c r="H8" s="7"/>
      <c r="I8" s="7"/>
      <c r="J8" s="7"/>
      <c r="K8" s="8" t="str">
        <f aca="false">IF($J8="","",$J8)</f>
        <v/>
      </c>
      <c r="L8" s="5"/>
      <c r="M8" s="5"/>
      <c r="N8" s="5"/>
      <c r="O8" s="5"/>
      <c r="P8" s="5"/>
      <c r="Q8" s="5"/>
      <c r="R8" s="5"/>
      <c r="S8" s="5"/>
      <c r="T8" s="5"/>
      <c r="U8" s="5"/>
      <c r="V8" s="9" t="str">
        <f aca="false">IF($A8="","",IFERROR(INDEX(Checklist!$C$30:$G$30,MATCH($A8,Checklist!$C$1:$G$1,0)),""))</f>
        <v/>
      </c>
      <c r="W8" s="10" t="str">
        <f aca="false">IF($A8="","",SUMIFS(שעות!$D$2:$D$500,שעות!$A$2:$A$500,$A8))</f>
        <v/>
      </c>
      <c r="X8" s="6" t="str">
        <f aca="false">IF($A8="","",IFERROR($F8/$W8,""))</f>
        <v/>
      </c>
      <c r="Y8" s="11" t="str">
        <f aca="false">IF($A8="","",COUNTIFS(פניות!$B$2:$B$500,$A8,פניות!$F$2:$F$500,"פתוחה"))</f>
        <v/>
      </c>
      <c r="Z8" s="5"/>
      <c r="AA8" s="5"/>
    </row>
    <row r="9" customFormat="false" ht="15" hidden="false" customHeight="false" outlineLevel="0" collapsed="false">
      <c r="A9" s="5"/>
      <c r="B9" s="5"/>
      <c r="C9" s="5"/>
      <c r="D9" s="5"/>
      <c r="E9" s="5"/>
      <c r="F9" s="6" t="str">
        <f aca="false">IF($E9="","",IFERROR(INDEX(חבילות!$B$2:$B$4,MATCH($E9,חבילות!$A$2:$A$4,0)),""))</f>
        <v/>
      </c>
      <c r="G9" s="6" t="str">
        <f aca="false">IF($E9="","",IFERROR(INDEX(חבילות!$C$2:$C$4,MATCH($E9,חבילות!$A$2:$A$4,0)),""))</f>
        <v/>
      </c>
      <c r="H9" s="7"/>
      <c r="I9" s="7"/>
      <c r="J9" s="7"/>
      <c r="K9" s="8" t="str">
        <f aca="false">IF($J9="","",$J9)</f>
        <v/>
      </c>
      <c r="L9" s="5"/>
      <c r="M9" s="5"/>
      <c r="N9" s="5"/>
      <c r="O9" s="5"/>
      <c r="P9" s="5"/>
      <c r="Q9" s="5"/>
      <c r="R9" s="5"/>
      <c r="S9" s="5"/>
      <c r="T9" s="5"/>
      <c r="U9" s="5"/>
      <c r="V9" s="9" t="str">
        <f aca="false">IF($A9="","",IFERROR(INDEX(Checklist!$C$30:$G$30,MATCH($A9,Checklist!$C$1:$G$1,0)),""))</f>
        <v/>
      </c>
      <c r="W9" s="10" t="str">
        <f aca="false">IF($A9="","",SUMIFS(שעות!$D$2:$D$500,שעות!$A$2:$A$500,$A9))</f>
        <v/>
      </c>
      <c r="X9" s="6" t="str">
        <f aca="false">IF($A9="","",IFERROR($F9/$W9,""))</f>
        <v/>
      </c>
      <c r="Y9" s="11" t="str">
        <f aca="false">IF($A9="","",COUNTIFS(פניות!$B$2:$B$500,$A9,פניות!$F$2:$F$500,"פתוחה"))</f>
        <v/>
      </c>
      <c r="Z9" s="5"/>
      <c r="AA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6" t="str">
        <f aca="false">IF($E10="","",IFERROR(INDEX(חבילות!$B$2:$B$4,MATCH($E10,חבילות!$A$2:$A$4,0)),""))</f>
        <v/>
      </c>
      <c r="G10" s="6" t="str">
        <f aca="false">IF($E10="","",IFERROR(INDEX(חבילות!$C$2:$C$4,MATCH($E10,חבילות!$A$2:$A$4,0)),""))</f>
        <v/>
      </c>
      <c r="H10" s="7"/>
      <c r="I10" s="7"/>
      <c r="J10" s="7"/>
      <c r="K10" s="8" t="str">
        <f aca="false">IF($J10="","",$J10)</f>
        <v/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9" t="str">
        <f aca="false">IF($A10="","",IFERROR(INDEX(Checklist!$C$30:$G$30,MATCH($A10,Checklist!$C$1:$G$1,0)),""))</f>
        <v/>
      </c>
      <c r="W10" s="10" t="str">
        <f aca="false">IF($A10="","",SUMIFS(שעות!$D$2:$D$500,שעות!$A$2:$A$500,$A10))</f>
        <v/>
      </c>
      <c r="X10" s="6" t="str">
        <f aca="false">IF($A10="","",IFERROR($F10/$W10,""))</f>
        <v/>
      </c>
      <c r="Y10" s="11" t="str">
        <f aca="false">IF($A10="","",COUNTIFS(פניות!$B$2:$B$500,$A10,פניות!$F$2:$F$500,"פתוחה"))</f>
        <v/>
      </c>
      <c r="Z10" s="5"/>
      <c r="AA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6" t="str">
        <f aca="false">IF($E11="","",IFERROR(INDEX(חבילות!$B$2:$B$4,MATCH($E11,חבילות!$A$2:$A$4,0)),""))</f>
        <v/>
      </c>
      <c r="G11" s="6" t="str">
        <f aca="false">IF($E11="","",IFERROR(INDEX(חבילות!$C$2:$C$4,MATCH($E11,חבילות!$A$2:$A$4,0)),""))</f>
        <v/>
      </c>
      <c r="H11" s="7"/>
      <c r="I11" s="7"/>
      <c r="J11" s="7"/>
      <c r="K11" s="8" t="str">
        <f aca="false">IF($J11="","",$J11)</f>
        <v/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9" t="str">
        <f aca="false">IF($A11="","",IFERROR(INDEX(Checklist!$C$30:$G$30,MATCH($A11,Checklist!$C$1:$G$1,0)),""))</f>
        <v/>
      </c>
      <c r="W11" s="10" t="str">
        <f aca="false">IF($A11="","",SUMIFS(שעות!$D$2:$D$500,שעות!$A$2:$A$500,$A11))</f>
        <v/>
      </c>
      <c r="X11" s="6" t="str">
        <f aca="false">IF($A11="","",IFERROR($F11/$W11,""))</f>
        <v/>
      </c>
      <c r="Y11" s="11" t="str">
        <f aca="false">IF($A11="","",COUNTIFS(פניות!$B$2:$B$500,$A11,פניות!$F$2:$F$500,"פתוחה"))</f>
        <v/>
      </c>
      <c r="Z11" s="5"/>
      <c r="AA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6" t="str">
        <f aca="false">IF($E12="","",IFERROR(INDEX(חבילות!$B$2:$B$4,MATCH($E12,חבילות!$A$2:$A$4,0)),""))</f>
        <v/>
      </c>
      <c r="G12" s="6" t="str">
        <f aca="false">IF($E12="","",IFERROR(INDEX(חבילות!$C$2:$C$4,MATCH($E12,חבילות!$A$2:$A$4,0)),""))</f>
        <v/>
      </c>
      <c r="H12" s="7"/>
      <c r="I12" s="7"/>
      <c r="J12" s="7"/>
      <c r="K12" s="8" t="str">
        <f aca="false">IF($J12="","",$J12)</f>
        <v/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9" t="str">
        <f aca="false">IF($A12="","",IFERROR(INDEX(Checklist!$C$30:$G$30,MATCH($A12,Checklist!$C$1:$G$1,0)),""))</f>
        <v/>
      </c>
      <c r="W12" s="10" t="str">
        <f aca="false">IF($A12="","",SUMIFS(שעות!$D$2:$D$500,שעות!$A$2:$A$500,$A12))</f>
        <v/>
      </c>
      <c r="X12" s="6" t="str">
        <f aca="false">IF($A12="","",IFERROR($F12/$W12,""))</f>
        <v/>
      </c>
      <c r="Y12" s="11" t="str">
        <f aca="false">IF($A12="","",COUNTIFS(פניות!$B$2:$B$500,$A12,פניות!$F$2:$F$500,"פתוחה"))</f>
        <v/>
      </c>
      <c r="Z12" s="5"/>
      <c r="AA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6" t="str">
        <f aca="false">IF($E13="","",IFERROR(INDEX(חבילות!$B$2:$B$4,MATCH($E13,חבילות!$A$2:$A$4,0)),""))</f>
        <v/>
      </c>
      <c r="G13" s="6" t="str">
        <f aca="false">IF($E13="","",IFERROR(INDEX(חבילות!$C$2:$C$4,MATCH($E13,חבילות!$A$2:$A$4,0)),""))</f>
        <v/>
      </c>
      <c r="H13" s="7"/>
      <c r="I13" s="7"/>
      <c r="J13" s="7"/>
      <c r="K13" s="8" t="str">
        <f aca="false">IF($J13="","",$J13)</f>
        <v/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9" t="str">
        <f aca="false">IF($A13="","",IFERROR(INDEX(Checklist!$C$30:$G$30,MATCH($A13,Checklist!$C$1:$G$1,0)),""))</f>
        <v/>
      </c>
      <c r="W13" s="10" t="str">
        <f aca="false">IF($A13="","",SUMIFS(שעות!$D$2:$D$500,שעות!$A$2:$A$500,$A13))</f>
        <v/>
      </c>
      <c r="X13" s="6" t="str">
        <f aca="false">IF($A13="","",IFERROR($F13/$W13,""))</f>
        <v/>
      </c>
      <c r="Y13" s="11" t="str">
        <f aca="false">IF($A13="","",COUNTIFS(פניות!$B$2:$B$500,$A13,פניות!$F$2:$F$500,"פתוחה"))</f>
        <v/>
      </c>
      <c r="Z13" s="5"/>
      <c r="AA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6" t="str">
        <f aca="false">IF($E14="","",IFERROR(INDEX(חבילות!$B$2:$B$4,MATCH($E14,חבילות!$A$2:$A$4,0)),""))</f>
        <v/>
      </c>
      <c r="G14" s="6" t="str">
        <f aca="false">IF($E14="","",IFERROR(INDEX(חבילות!$C$2:$C$4,MATCH($E14,חבילות!$A$2:$A$4,0)),""))</f>
        <v/>
      </c>
      <c r="H14" s="7"/>
      <c r="I14" s="7"/>
      <c r="J14" s="7"/>
      <c r="K14" s="8" t="str">
        <f aca="false">IF($J14="","",$J14)</f>
        <v/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9" t="str">
        <f aca="false">IF($A14="","",IFERROR(INDEX(Checklist!$C$30:$G$30,MATCH($A14,Checklist!$C$1:$G$1,0)),""))</f>
        <v/>
      </c>
      <c r="W14" s="10" t="str">
        <f aca="false">IF($A14="","",SUMIFS(שעות!$D$2:$D$500,שעות!$A$2:$A$500,$A14))</f>
        <v/>
      </c>
      <c r="X14" s="6" t="str">
        <f aca="false">IF($A14="","",IFERROR($F14/$W14,""))</f>
        <v/>
      </c>
      <c r="Y14" s="11" t="str">
        <f aca="false">IF($A14="","",COUNTIFS(פניות!$B$2:$B$500,$A14,פניות!$F$2:$F$500,"פתוחה"))</f>
        <v/>
      </c>
      <c r="Z14" s="5"/>
      <c r="AA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6" t="str">
        <f aca="false">IF($E15="","",IFERROR(INDEX(חבילות!$B$2:$B$4,MATCH($E15,חבילות!$A$2:$A$4,0)),""))</f>
        <v/>
      </c>
      <c r="G15" s="6" t="str">
        <f aca="false">IF($E15="","",IFERROR(INDEX(חבילות!$C$2:$C$4,MATCH($E15,חבילות!$A$2:$A$4,0)),""))</f>
        <v/>
      </c>
      <c r="H15" s="7"/>
      <c r="I15" s="7"/>
      <c r="J15" s="7"/>
      <c r="K15" s="8" t="str">
        <f aca="false">IF($J15="","",$J15)</f>
        <v/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9" t="str">
        <f aca="false">IF($A15="","",IFERROR(INDEX(Checklist!$C$30:$G$30,MATCH($A15,Checklist!$C$1:$G$1,0)),""))</f>
        <v/>
      </c>
      <c r="W15" s="10" t="str">
        <f aca="false">IF($A15="","",SUMIFS(שעות!$D$2:$D$500,שעות!$A$2:$A$500,$A15))</f>
        <v/>
      </c>
      <c r="X15" s="6" t="str">
        <f aca="false">IF($A15="","",IFERROR($F15/$W15,""))</f>
        <v/>
      </c>
      <c r="Y15" s="11" t="str">
        <f aca="false">IF($A15="","",COUNTIFS(פניות!$B$2:$B$500,$A15,פניות!$F$2:$F$500,"פתוחה"))</f>
        <v/>
      </c>
      <c r="Z15" s="5"/>
      <c r="AA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6" t="str">
        <f aca="false">IF($E16="","",IFERROR(INDEX(חבילות!$B$2:$B$4,MATCH($E16,חבילות!$A$2:$A$4,0)),""))</f>
        <v/>
      </c>
      <c r="G16" s="6" t="str">
        <f aca="false">IF($E16="","",IFERROR(INDEX(חבילות!$C$2:$C$4,MATCH($E16,חבילות!$A$2:$A$4,0)),""))</f>
        <v/>
      </c>
      <c r="H16" s="7"/>
      <c r="I16" s="7"/>
      <c r="J16" s="7"/>
      <c r="K16" s="8" t="str">
        <f aca="false">IF($J16="","",$J16)</f>
        <v/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9" t="str">
        <f aca="false">IF($A16="","",IFERROR(INDEX(Checklist!$C$30:$G$30,MATCH($A16,Checklist!$C$1:$G$1,0)),""))</f>
        <v/>
      </c>
      <c r="W16" s="10" t="str">
        <f aca="false">IF($A16="","",SUMIFS(שעות!$D$2:$D$500,שעות!$A$2:$A$500,$A16))</f>
        <v/>
      </c>
      <c r="X16" s="6" t="str">
        <f aca="false">IF($A16="","",IFERROR($F16/$W16,""))</f>
        <v/>
      </c>
      <c r="Y16" s="11" t="str">
        <f aca="false">IF($A16="","",COUNTIFS(פניות!$B$2:$B$500,$A16,פניות!$F$2:$F$500,"פתוחה"))</f>
        <v/>
      </c>
      <c r="Z16" s="5"/>
      <c r="AA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6" t="str">
        <f aca="false">IF($E17="","",IFERROR(INDEX(חבילות!$B$2:$B$4,MATCH($E17,חבילות!$A$2:$A$4,0)),""))</f>
        <v/>
      </c>
      <c r="G17" s="6" t="str">
        <f aca="false">IF($E17="","",IFERROR(INDEX(חבילות!$C$2:$C$4,MATCH($E17,חבילות!$A$2:$A$4,0)),""))</f>
        <v/>
      </c>
      <c r="H17" s="7"/>
      <c r="I17" s="7"/>
      <c r="J17" s="7"/>
      <c r="K17" s="8" t="str">
        <f aca="false">IF($J17="","",$J17)</f>
        <v/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9" t="str">
        <f aca="false">IF($A17="","",IFERROR(INDEX(Checklist!$C$30:$G$30,MATCH($A17,Checklist!$C$1:$G$1,0)),""))</f>
        <v/>
      </c>
      <c r="W17" s="10" t="str">
        <f aca="false">IF($A17="","",SUMIFS(שעות!$D$2:$D$500,שעות!$A$2:$A$500,$A17))</f>
        <v/>
      </c>
      <c r="X17" s="6" t="str">
        <f aca="false">IF($A17="","",IFERROR($F17/$W17,""))</f>
        <v/>
      </c>
      <c r="Y17" s="11" t="str">
        <f aca="false">IF($A17="","",COUNTIFS(פניות!$B$2:$B$500,$A17,פניות!$F$2:$F$500,"פתוחה"))</f>
        <v/>
      </c>
      <c r="Z17" s="5"/>
      <c r="AA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6" t="str">
        <f aca="false">IF($E18="","",IFERROR(INDEX(חבילות!$B$2:$B$4,MATCH($E18,חבילות!$A$2:$A$4,0)),""))</f>
        <v/>
      </c>
      <c r="G18" s="6" t="str">
        <f aca="false">IF($E18="","",IFERROR(INDEX(חבילות!$C$2:$C$4,MATCH($E18,חבילות!$A$2:$A$4,0)),""))</f>
        <v/>
      </c>
      <c r="H18" s="7"/>
      <c r="I18" s="7"/>
      <c r="J18" s="7"/>
      <c r="K18" s="8" t="str">
        <f aca="false">IF($J18="","",$J18)</f>
        <v/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9" t="str">
        <f aca="false">IF($A18="","",IFERROR(INDEX(Checklist!$C$30:$G$30,MATCH($A18,Checklist!$C$1:$G$1,0)),""))</f>
        <v/>
      </c>
      <c r="W18" s="10" t="str">
        <f aca="false">IF($A18="","",SUMIFS(שעות!$D$2:$D$500,שעות!$A$2:$A$500,$A18))</f>
        <v/>
      </c>
      <c r="X18" s="6" t="str">
        <f aca="false">IF($A18="","",IFERROR($F18/$W18,""))</f>
        <v/>
      </c>
      <c r="Y18" s="11" t="str">
        <f aca="false">IF($A18="","",COUNTIFS(פניות!$B$2:$B$500,$A18,פניות!$F$2:$F$500,"פתוחה"))</f>
        <v/>
      </c>
      <c r="Z18" s="5"/>
      <c r="AA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6" t="str">
        <f aca="false">IF($E19="","",IFERROR(INDEX(חבילות!$B$2:$B$4,MATCH($E19,חבילות!$A$2:$A$4,0)),""))</f>
        <v/>
      </c>
      <c r="G19" s="6" t="str">
        <f aca="false">IF($E19="","",IFERROR(INDEX(חבילות!$C$2:$C$4,MATCH($E19,חבילות!$A$2:$A$4,0)),""))</f>
        <v/>
      </c>
      <c r="H19" s="7"/>
      <c r="I19" s="7"/>
      <c r="J19" s="7"/>
      <c r="K19" s="8" t="str">
        <f aca="false">IF($J19="","",$J19)</f>
        <v/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9" t="str">
        <f aca="false">IF($A19="","",IFERROR(INDEX(Checklist!$C$30:$G$30,MATCH($A19,Checklist!$C$1:$G$1,0)),""))</f>
        <v/>
      </c>
      <c r="W19" s="10" t="str">
        <f aca="false">IF($A19="","",SUMIFS(שעות!$D$2:$D$500,שעות!$A$2:$A$500,$A19))</f>
        <v/>
      </c>
      <c r="X19" s="6" t="str">
        <f aca="false">IF($A19="","",IFERROR($F19/$W19,""))</f>
        <v/>
      </c>
      <c r="Y19" s="11" t="str">
        <f aca="false">IF($A19="","",COUNTIFS(פניות!$B$2:$B$500,$A19,פניות!$F$2:$F$500,"פתוחה"))</f>
        <v/>
      </c>
      <c r="Z19" s="5"/>
      <c r="AA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6" t="str">
        <f aca="false">IF($E20="","",IFERROR(INDEX(חבילות!$B$2:$B$4,MATCH($E20,חבילות!$A$2:$A$4,0)),""))</f>
        <v/>
      </c>
      <c r="G20" s="6" t="str">
        <f aca="false">IF($E20="","",IFERROR(INDEX(חבילות!$C$2:$C$4,MATCH($E20,חבילות!$A$2:$A$4,0)),""))</f>
        <v/>
      </c>
      <c r="H20" s="7"/>
      <c r="I20" s="7"/>
      <c r="J20" s="7"/>
      <c r="K20" s="8" t="str">
        <f aca="false">IF($J20="","",$J20)</f>
        <v/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9" t="str">
        <f aca="false">IF($A20="","",IFERROR(INDEX(Checklist!$C$30:$G$30,MATCH($A20,Checklist!$C$1:$G$1,0)),""))</f>
        <v/>
      </c>
      <c r="W20" s="10" t="str">
        <f aca="false">IF($A20="","",SUMIFS(שעות!$D$2:$D$500,שעות!$A$2:$A$500,$A20))</f>
        <v/>
      </c>
      <c r="X20" s="6" t="str">
        <f aca="false">IF($A20="","",IFERROR($F20/$W20,""))</f>
        <v/>
      </c>
      <c r="Y20" s="11" t="str">
        <f aca="false">IF($A20="","",COUNTIFS(פניות!$B$2:$B$500,$A20,פניות!$F$2:$F$500,"פתוחה"))</f>
        <v/>
      </c>
      <c r="Z20" s="5"/>
      <c r="AA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6" t="str">
        <f aca="false">IF($E21="","",IFERROR(INDEX(חבילות!$B$2:$B$4,MATCH($E21,חבילות!$A$2:$A$4,0)),""))</f>
        <v/>
      </c>
      <c r="G21" s="6" t="str">
        <f aca="false">IF($E21="","",IFERROR(INDEX(חבילות!$C$2:$C$4,MATCH($E21,חבילות!$A$2:$A$4,0)),""))</f>
        <v/>
      </c>
      <c r="H21" s="7"/>
      <c r="I21" s="7"/>
      <c r="J21" s="7"/>
      <c r="K21" s="8" t="str">
        <f aca="false">IF($J21="","",$J21)</f>
        <v/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9" t="str">
        <f aca="false">IF($A21="","",IFERROR(INDEX(Checklist!$C$30:$G$30,MATCH($A21,Checklist!$C$1:$G$1,0)),""))</f>
        <v/>
      </c>
      <c r="W21" s="10" t="str">
        <f aca="false">IF($A21="","",SUMIFS(שעות!$D$2:$D$500,שעות!$A$2:$A$500,$A21))</f>
        <v/>
      </c>
      <c r="X21" s="6" t="str">
        <f aca="false">IF($A21="","",IFERROR($F21/$W21,""))</f>
        <v/>
      </c>
      <c r="Y21" s="11" t="str">
        <f aca="false">IF($A21="","",COUNTIFS(פניות!$B$2:$B$500,$A21,פניות!$F$2:$F$500,"פתוחה"))</f>
        <v/>
      </c>
      <c r="Z21" s="5"/>
      <c r="AA21" s="5"/>
    </row>
  </sheetData>
  <dataValidations count="4">
    <dataValidation allowBlank="true" errorStyle="stop" operator="between" showDropDown="false" showErrorMessage="false" showInputMessage="false" sqref="E2:E21" type="list">
      <formula1>חבילות!$A$2:$A$4</formula1>
      <formula2>0</formula2>
    </dataValidation>
    <dataValidation allowBlank="true" errorStyle="stop" operator="between" showDropDown="false" showErrorMessage="false" showInputMessage="false" sqref="L2:L21" type="list">
      <formula1>"ליד,סקר בית,הצעה נשלחה,הזמנת ציוד,התקנה,בדיקות קבלה,פעיל,מושהה,הופסק"</formula1>
      <formula2>0</formula2>
    </dataValidation>
    <dataValidation allowBlank="true" errorStyle="stop" operator="between" showDropDown="false" showErrorMessage="false" showInputMessage="false" sqref="P2:P21" type="list">
      <formula1>"כן,לא"</formula1>
      <formula2>0</formula2>
    </dataValidation>
    <dataValidation allowBlank="true" errorStyle="stop" operator="between" showDropDown="false" showErrorMessage="false" showInputMessage="false" sqref="T2:T21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7" min="3" style="0" width="12"/>
  </cols>
  <sheetData>
    <row r="1" customFormat="false" ht="33.75" hidden="false" customHeight="true" outlineLevel="0" collapsed="false">
      <c r="A1" s="4" t="s">
        <v>59</v>
      </c>
      <c r="B1" s="4" t="s">
        <v>60</v>
      </c>
      <c r="C1" s="4" t="str">
        <f aca="false">IF(לקוחות!$A2="","",לקוחות!$A2)</f>
        <v>C001</v>
      </c>
      <c r="D1" s="4" t="str">
        <f aca="false">IF(לקוחות!$A3="","",לקוחות!$A3)</f>
        <v/>
      </c>
      <c r="E1" s="4" t="str">
        <f aca="false">IF(לקוחות!$A4="","",לקוחות!$A4)</f>
        <v/>
      </c>
      <c r="F1" s="4" t="str">
        <f aca="false">IF(לקוחות!$A5="","",לקוחות!$A5)</f>
        <v/>
      </c>
      <c r="G1" s="4" t="str">
        <f aca="false">IF(לקוחות!$A6="","",לקוחות!$A6)</f>
        <v/>
      </c>
    </row>
    <row r="2" customFormat="false" ht="15" hidden="false" customHeight="false" outlineLevel="0" collapsed="false">
      <c r="A2" s="12" t="s">
        <v>61</v>
      </c>
      <c r="B2" s="13" t="s">
        <v>62</v>
      </c>
      <c r="C2" s="14" t="s">
        <v>63</v>
      </c>
      <c r="D2" s="14"/>
      <c r="E2" s="14"/>
      <c r="F2" s="14"/>
      <c r="G2" s="14"/>
    </row>
    <row r="3" customFormat="false" ht="15" hidden="false" customHeight="false" outlineLevel="0" collapsed="false">
      <c r="A3" s="12" t="s">
        <v>61</v>
      </c>
      <c r="B3" s="13" t="s">
        <v>64</v>
      </c>
      <c r="C3" s="14" t="s">
        <v>63</v>
      </c>
      <c r="D3" s="14"/>
      <c r="E3" s="14"/>
      <c r="F3" s="14"/>
      <c r="G3" s="14"/>
    </row>
    <row r="4" customFormat="false" ht="15" hidden="false" customHeight="false" outlineLevel="0" collapsed="false">
      <c r="A4" s="12" t="s">
        <v>61</v>
      </c>
      <c r="B4" s="13" t="s">
        <v>65</v>
      </c>
      <c r="C4" s="14" t="s">
        <v>63</v>
      </c>
      <c r="D4" s="14"/>
      <c r="E4" s="14"/>
      <c r="F4" s="14"/>
      <c r="G4" s="14"/>
    </row>
    <row r="5" customFormat="false" ht="15" hidden="false" customHeight="false" outlineLevel="0" collapsed="false">
      <c r="A5" s="12" t="s">
        <v>61</v>
      </c>
      <c r="B5" s="13" t="s">
        <v>66</v>
      </c>
      <c r="C5" s="14" t="s">
        <v>63</v>
      </c>
      <c r="D5" s="14"/>
      <c r="E5" s="14"/>
      <c r="F5" s="14"/>
      <c r="G5" s="14"/>
    </row>
    <row r="6" customFormat="false" ht="15" hidden="false" customHeight="false" outlineLevel="0" collapsed="false">
      <c r="A6" s="12" t="s">
        <v>61</v>
      </c>
      <c r="B6" s="13" t="s">
        <v>67</v>
      </c>
      <c r="C6" s="14" t="s">
        <v>63</v>
      </c>
      <c r="D6" s="14"/>
      <c r="E6" s="14"/>
      <c r="F6" s="14"/>
      <c r="G6" s="14"/>
    </row>
    <row r="7" customFormat="false" ht="15" hidden="false" customHeight="false" outlineLevel="0" collapsed="false">
      <c r="A7" s="12" t="s">
        <v>61</v>
      </c>
      <c r="B7" s="13" t="s">
        <v>68</v>
      </c>
      <c r="C7" s="14" t="s">
        <v>63</v>
      </c>
      <c r="D7" s="14"/>
      <c r="E7" s="14"/>
      <c r="F7" s="14"/>
      <c r="G7" s="14"/>
    </row>
    <row r="8" customFormat="false" ht="15" hidden="false" customHeight="false" outlineLevel="0" collapsed="false">
      <c r="A8" s="12" t="s">
        <v>69</v>
      </c>
      <c r="B8" s="13" t="s">
        <v>70</v>
      </c>
      <c r="C8" s="14" t="s">
        <v>71</v>
      </c>
      <c r="D8" s="14"/>
      <c r="E8" s="14"/>
      <c r="F8" s="14"/>
      <c r="G8" s="14"/>
    </row>
    <row r="9" customFormat="false" ht="15" hidden="false" customHeight="false" outlineLevel="0" collapsed="false">
      <c r="A9" s="12" t="s">
        <v>69</v>
      </c>
      <c r="B9" s="13" t="s">
        <v>72</v>
      </c>
      <c r="C9" s="14" t="s">
        <v>71</v>
      </c>
      <c r="D9" s="14"/>
      <c r="E9" s="14"/>
      <c r="F9" s="14"/>
      <c r="G9" s="14"/>
    </row>
    <row r="10" customFormat="false" ht="15" hidden="false" customHeight="false" outlineLevel="0" collapsed="false">
      <c r="A10" s="12" t="s">
        <v>69</v>
      </c>
      <c r="B10" s="13" t="s">
        <v>73</v>
      </c>
      <c r="C10" s="14" t="s">
        <v>71</v>
      </c>
      <c r="D10" s="14"/>
      <c r="E10" s="14"/>
      <c r="F10" s="14"/>
      <c r="G10" s="14"/>
    </row>
    <row r="11" customFormat="false" ht="15" hidden="false" customHeight="false" outlineLevel="0" collapsed="false">
      <c r="A11" s="12" t="s">
        <v>69</v>
      </c>
      <c r="B11" s="13" t="s">
        <v>74</v>
      </c>
      <c r="C11" s="14" t="s">
        <v>71</v>
      </c>
      <c r="D11" s="14"/>
      <c r="E11" s="14"/>
      <c r="F11" s="14"/>
      <c r="G11" s="14"/>
    </row>
    <row r="12" customFormat="false" ht="15" hidden="false" customHeight="false" outlineLevel="0" collapsed="false">
      <c r="A12" s="12" t="s">
        <v>69</v>
      </c>
      <c r="B12" s="13" t="s">
        <v>75</v>
      </c>
      <c r="C12" s="14" t="s">
        <v>71</v>
      </c>
      <c r="D12" s="14"/>
      <c r="E12" s="14"/>
      <c r="F12" s="14"/>
      <c r="G12" s="14"/>
    </row>
    <row r="13" customFormat="false" ht="15" hidden="false" customHeight="false" outlineLevel="0" collapsed="false">
      <c r="A13" s="12" t="s">
        <v>76</v>
      </c>
      <c r="B13" s="13" t="s">
        <v>77</v>
      </c>
      <c r="C13" s="14" t="s">
        <v>63</v>
      </c>
      <c r="D13" s="14"/>
      <c r="E13" s="14"/>
      <c r="F13" s="14"/>
      <c r="G13" s="14"/>
    </row>
    <row r="14" customFormat="false" ht="15" hidden="false" customHeight="false" outlineLevel="0" collapsed="false">
      <c r="A14" s="12" t="s">
        <v>76</v>
      </c>
      <c r="B14" s="13" t="s">
        <v>78</v>
      </c>
      <c r="C14" s="14" t="s">
        <v>63</v>
      </c>
      <c r="D14" s="14"/>
      <c r="E14" s="14"/>
      <c r="F14" s="14"/>
      <c r="G14" s="14"/>
    </row>
    <row r="15" customFormat="false" ht="15" hidden="false" customHeight="false" outlineLevel="0" collapsed="false">
      <c r="A15" s="12" t="s">
        <v>76</v>
      </c>
      <c r="B15" s="13" t="s">
        <v>79</v>
      </c>
      <c r="C15" s="14" t="s">
        <v>63</v>
      </c>
      <c r="D15" s="14"/>
      <c r="E15" s="14"/>
      <c r="F15" s="14"/>
      <c r="G15" s="14"/>
    </row>
    <row r="16" customFormat="false" ht="15" hidden="false" customHeight="false" outlineLevel="0" collapsed="false">
      <c r="A16" s="12" t="s">
        <v>76</v>
      </c>
      <c r="B16" s="13" t="s">
        <v>80</v>
      </c>
      <c r="C16" s="14" t="s">
        <v>63</v>
      </c>
      <c r="D16" s="14"/>
      <c r="E16" s="14"/>
      <c r="F16" s="14"/>
      <c r="G16" s="14"/>
    </row>
    <row r="17" customFormat="false" ht="15" hidden="false" customHeight="false" outlineLevel="0" collapsed="false">
      <c r="A17" s="12" t="s">
        <v>76</v>
      </c>
      <c r="B17" s="13" t="s">
        <v>81</v>
      </c>
      <c r="C17" s="14" t="s">
        <v>63</v>
      </c>
      <c r="D17" s="14"/>
      <c r="E17" s="14"/>
      <c r="F17" s="14"/>
      <c r="G17" s="14"/>
    </row>
    <row r="18" customFormat="false" ht="15" hidden="false" customHeight="false" outlineLevel="0" collapsed="false">
      <c r="A18" s="12" t="s">
        <v>82</v>
      </c>
      <c r="B18" s="13" t="s">
        <v>83</v>
      </c>
      <c r="C18" s="14" t="s">
        <v>63</v>
      </c>
      <c r="D18" s="14"/>
      <c r="E18" s="14"/>
      <c r="F18" s="14"/>
      <c r="G18" s="14"/>
    </row>
    <row r="19" customFormat="false" ht="15" hidden="false" customHeight="false" outlineLevel="0" collapsed="false">
      <c r="A19" s="12" t="s">
        <v>82</v>
      </c>
      <c r="B19" s="13" t="s">
        <v>84</v>
      </c>
      <c r="C19" s="14" t="s">
        <v>63</v>
      </c>
      <c r="D19" s="14"/>
      <c r="E19" s="14"/>
      <c r="F19" s="14"/>
      <c r="G19" s="14"/>
    </row>
    <row r="20" customFormat="false" ht="15" hidden="false" customHeight="false" outlineLevel="0" collapsed="false">
      <c r="A20" s="12" t="s">
        <v>82</v>
      </c>
      <c r="B20" s="13" t="s">
        <v>85</v>
      </c>
      <c r="C20" s="14" t="s">
        <v>63</v>
      </c>
      <c r="D20" s="14"/>
      <c r="E20" s="14"/>
      <c r="F20" s="14"/>
      <c r="G20" s="14"/>
    </row>
    <row r="21" customFormat="false" ht="15" hidden="false" customHeight="false" outlineLevel="0" collapsed="false">
      <c r="A21" s="12" t="s">
        <v>82</v>
      </c>
      <c r="B21" s="13" t="s">
        <v>86</v>
      </c>
      <c r="C21" s="14" t="s">
        <v>63</v>
      </c>
      <c r="D21" s="14"/>
      <c r="E21" s="14"/>
      <c r="F21" s="14"/>
      <c r="G21" s="14"/>
    </row>
    <row r="22" customFormat="false" ht="15" hidden="false" customHeight="false" outlineLevel="0" collapsed="false">
      <c r="A22" s="12" t="s">
        <v>82</v>
      </c>
      <c r="B22" s="13" t="s">
        <v>87</v>
      </c>
      <c r="C22" s="14" t="s">
        <v>63</v>
      </c>
      <c r="D22" s="14"/>
      <c r="E22" s="14"/>
      <c r="F22" s="14"/>
      <c r="G22" s="14"/>
    </row>
    <row r="23" customFormat="false" ht="15" hidden="false" customHeight="false" outlineLevel="0" collapsed="false">
      <c r="A23" s="12" t="s">
        <v>82</v>
      </c>
      <c r="B23" s="13" t="s">
        <v>88</v>
      </c>
      <c r="C23" s="14" t="s">
        <v>71</v>
      </c>
      <c r="D23" s="14"/>
      <c r="E23" s="14"/>
      <c r="F23" s="14"/>
      <c r="G23" s="14"/>
    </row>
    <row r="24" customFormat="false" ht="15" hidden="false" customHeight="false" outlineLevel="0" collapsed="false">
      <c r="A24" s="12" t="s">
        <v>82</v>
      </c>
      <c r="B24" s="13" t="s">
        <v>89</v>
      </c>
      <c r="C24" s="14" t="s">
        <v>63</v>
      </c>
      <c r="D24" s="14"/>
      <c r="E24" s="14"/>
      <c r="F24" s="14"/>
      <c r="G24" s="14"/>
    </row>
    <row r="25" customFormat="false" ht="15" hidden="false" customHeight="false" outlineLevel="0" collapsed="false">
      <c r="A25" s="12" t="s">
        <v>82</v>
      </c>
      <c r="B25" s="13" t="s">
        <v>90</v>
      </c>
      <c r="C25" s="14" t="s">
        <v>63</v>
      </c>
      <c r="D25" s="14"/>
      <c r="E25" s="14"/>
      <c r="F25" s="14"/>
      <c r="G25" s="14"/>
    </row>
    <row r="26" customFormat="false" ht="15" hidden="false" customHeight="false" outlineLevel="0" collapsed="false">
      <c r="A26" s="12" t="s">
        <v>82</v>
      </c>
      <c r="B26" s="13" t="s">
        <v>91</v>
      </c>
      <c r="C26" s="14" t="s">
        <v>63</v>
      </c>
      <c r="D26" s="14"/>
      <c r="E26" s="14"/>
      <c r="F26" s="14"/>
      <c r="G26" s="14"/>
    </row>
    <row r="27" customFormat="false" ht="15" hidden="false" customHeight="false" outlineLevel="0" collapsed="false">
      <c r="A27" s="12" t="s">
        <v>92</v>
      </c>
      <c r="B27" s="13" t="s">
        <v>93</v>
      </c>
      <c r="C27" s="14" t="s">
        <v>63</v>
      </c>
      <c r="D27" s="14"/>
      <c r="E27" s="14"/>
      <c r="F27" s="14"/>
      <c r="G27" s="14"/>
    </row>
    <row r="28" customFormat="false" ht="15" hidden="false" customHeight="false" outlineLevel="0" collapsed="false">
      <c r="A28" s="12" t="s">
        <v>92</v>
      </c>
      <c r="B28" s="13" t="s">
        <v>94</v>
      </c>
      <c r="C28" s="14" t="s">
        <v>63</v>
      </c>
      <c r="D28" s="14"/>
      <c r="E28" s="14"/>
      <c r="F28" s="14"/>
      <c r="G28" s="14"/>
    </row>
    <row r="29" customFormat="false" ht="15" hidden="false" customHeight="false" outlineLevel="0" collapsed="false">
      <c r="A29" s="12" t="s">
        <v>92</v>
      </c>
      <c r="B29" s="13" t="s">
        <v>95</v>
      </c>
      <c r="C29" s="14" t="s">
        <v>63</v>
      </c>
      <c r="D29" s="14"/>
      <c r="E29" s="14"/>
      <c r="F29" s="14"/>
      <c r="G29" s="14"/>
    </row>
    <row r="30" customFormat="false" ht="15" hidden="false" customHeight="false" outlineLevel="0" collapsed="false">
      <c r="A30" s="15"/>
      <c r="B30" s="16" t="s">
        <v>96</v>
      </c>
      <c r="C30" s="17" t="n">
        <f aca="false">IF(C$1="","",COUNTIF(C2:C29,"✓")/MAX(1,ROWS(C2:C29)-COUNTIF(C2:C29,"לא רלוונטי")))</f>
        <v>1</v>
      </c>
      <c r="D30" s="17" t="str">
        <f aca="false">IF(D$1="","",COUNTIF(D2:D29,"✓")/MAX(1,ROWS(D2:D29)-COUNTIF(D2:D29,"לא רלוונטי")))</f>
        <v/>
      </c>
      <c r="E30" s="17" t="str">
        <f aca="false">IF(E$1="","",COUNTIF(E2:E29,"✓")/MAX(1,ROWS(E2:E29)-COUNTIF(E2:E29,"לא רלוונטי")))</f>
        <v/>
      </c>
      <c r="F30" s="17" t="str">
        <f aca="false">IF(F$1="","",COUNTIF(F2:F29,"✓")/MAX(1,ROWS(F2:F29)-COUNTIF(F2:F29,"לא רלוונטי")))</f>
        <v/>
      </c>
      <c r="G30" s="17" t="str">
        <f aca="false">IF(G$1="","",COUNTIF(G2:G29,"✓")/MAX(1,ROWS(G2:G29)-COUNTIF(G2:G29,"לא רלוונטי")))</f>
        <v/>
      </c>
    </row>
  </sheetData>
  <conditionalFormatting sqref="C2:G2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1">
    <dataValidation allowBlank="true" errorStyle="stop" operator="between" showDropDown="false" showErrorMessage="false" showInputMessage="false" sqref="C2:G29" type="list">
      <formula1>"✓,✗,לא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44"/>
    <col collapsed="false" customWidth="true" hidden="false" outlineLevel="0" max="7" min="7" style="0" width="50"/>
  </cols>
  <sheetData>
    <row r="1" customFormat="false" ht="33.75" hidden="false" customHeight="true" outlineLevel="0" collapsed="false">
      <c r="A1" s="4" t="s">
        <v>15</v>
      </c>
      <c r="B1" s="4" t="s">
        <v>97</v>
      </c>
      <c r="C1" s="4" t="s">
        <v>98</v>
      </c>
      <c r="D1" s="4" t="s">
        <v>99</v>
      </c>
      <c r="E1" s="4" t="s">
        <v>100</v>
      </c>
      <c r="G1" s="18" t="s">
        <v>101</v>
      </c>
    </row>
    <row r="2" customFormat="false" ht="15" hidden="false" customHeight="false" outlineLevel="0" collapsed="false">
      <c r="A2" s="5" t="s">
        <v>42</v>
      </c>
      <c r="B2" s="5" t="s">
        <v>102</v>
      </c>
      <c r="C2" s="7" t="n">
        <v>46293</v>
      </c>
      <c r="D2" s="19" t="n">
        <v>1.5</v>
      </c>
      <c r="E2" s="5" t="s">
        <v>103</v>
      </c>
    </row>
    <row r="3" customFormat="false" ht="15" hidden="false" customHeight="false" outlineLevel="0" collapsed="false">
      <c r="A3" s="5" t="s">
        <v>42</v>
      </c>
      <c r="B3" s="5" t="s">
        <v>104</v>
      </c>
      <c r="C3" s="7" t="n">
        <v>46300</v>
      </c>
      <c r="D3" s="19" t="n">
        <v>2</v>
      </c>
      <c r="E3" s="5"/>
    </row>
    <row r="4" customFormat="false" ht="15" hidden="false" customHeight="false" outlineLevel="0" collapsed="false">
      <c r="A4" s="5" t="s">
        <v>42</v>
      </c>
      <c r="B4" s="5" t="s">
        <v>105</v>
      </c>
      <c r="C4" s="7" t="n">
        <v>46303</v>
      </c>
      <c r="D4" s="19" t="n">
        <v>1.5</v>
      </c>
      <c r="E4" s="5" t="s">
        <v>106</v>
      </c>
    </row>
    <row r="5" customFormat="false" ht="15" hidden="false" customHeight="false" outlineLevel="0" collapsed="false">
      <c r="A5" s="5" t="s">
        <v>42</v>
      </c>
      <c r="B5" s="5" t="s">
        <v>107</v>
      </c>
      <c r="C5" s="7" t="n">
        <v>46309</v>
      </c>
      <c r="D5" s="19" t="n">
        <v>3</v>
      </c>
      <c r="E5" s="5" t="s">
        <v>108</v>
      </c>
    </row>
    <row r="6" customFormat="false" ht="15" hidden="false" customHeight="false" outlineLevel="0" collapsed="false">
      <c r="A6" s="5" t="s">
        <v>42</v>
      </c>
      <c r="B6" s="5" t="s">
        <v>109</v>
      </c>
      <c r="C6" s="7" t="n">
        <v>46314</v>
      </c>
      <c r="D6" s="19" t="n">
        <v>5</v>
      </c>
      <c r="E6" s="5"/>
    </row>
    <row r="7" customFormat="false" ht="15" hidden="false" customHeight="false" outlineLevel="0" collapsed="false">
      <c r="A7" s="5" t="s">
        <v>42</v>
      </c>
      <c r="B7" s="5" t="s">
        <v>110</v>
      </c>
      <c r="C7" s="7" t="n">
        <v>46314</v>
      </c>
      <c r="D7" s="19" t="n">
        <v>1.5</v>
      </c>
      <c r="E7" s="5"/>
    </row>
    <row r="8" customFormat="false" ht="15" hidden="false" customHeight="false" outlineLevel="0" collapsed="false">
      <c r="A8" s="5" t="s">
        <v>42</v>
      </c>
      <c r="B8" s="5" t="s">
        <v>111</v>
      </c>
      <c r="C8" s="7" t="n">
        <v>46314</v>
      </c>
      <c r="D8" s="19" t="n">
        <v>1</v>
      </c>
      <c r="E8" s="5"/>
    </row>
    <row r="9" customFormat="false" ht="15" hidden="false" customHeight="false" outlineLevel="0" collapsed="false">
      <c r="A9" s="5"/>
      <c r="B9" s="5"/>
      <c r="C9" s="7"/>
      <c r="D9" s="19"/>
      <c r="E9" s="5"/>
    </row>
    <row r="10" customFormat="false" ht="15" hidden="false" customHeight="false" outlineLevel="0" collapsed="false">
      <c r="A10" s="5"/>
      <c r="B10" s="5"/>
      <c r="C10" s="7"/>
      <c r="D10" s="19"/>
      <c r="E10" s="5"/>
    </row>
    <row r="11" customFormat="false" ht="15" hidden="false" customHeight="false" outlineLevel="0" collapsed="false">
      <c r="A11" s="5"/>
      <c r="B11" s="5"/>
      <c r="C11" s="7"/>
      <c r="D11" s="19"/>
      <c r="E11" s="5"/>
    </row>
    <row r="12" customFormat="false" ht="15" hidden="false" customHeight="false" outlineLevel="0" collapsed="false">
      <c r="A12" s="5"/>
      <c r="B12" s="5"/>
      <c r="C12" s="7"/>
      <c r="D12" s="19"/>
      <c r="E12" s="5"/>
    </row>
    <row r="13" customFormat="false" ht="15" hidden="false" customHeight="false" outlineLevel="0" collapsed="false">
      <c r="A13" s="5"/>
      <c r="B13" s="5"/>
      <c r="C13" s="7"/>
      <c r="D13" s="19"/>
      <c r="E13" s="5"/>
    </row>
    <row r="14" customFormat="false" ht="15" hidden="false" customHeight="false" outlineLevel="0" collapsed="false">
      <c r="A14" s="5"/>
      <c r="B14" s="5"/>
      <c r="C14" s="7"/>
      <c r="D14" s="19"/>
      <c r="E14" s="5"/>
    </row>
    <row r="15" customFormat="false" ht="15" hidden="false" customHeight="false" outlineLevel="0" collapsed="false">
      <c r="A15" s="5"/>
      <c r="B15" s="5"/>
      <c r="C15" s="7"/>
      <c r="D15" s="19"/>
      <c r="E15" s="5"/>
    </row>
    <row r="16" customFormat="false" ht="15" hidden="false" customHeight="false" outlineLevel="0" collapsed="false">
      <c r="A16" s="5"/>
      <c r="B16" s="5"/>
      <c r="C16" s="7"/>
      <c r="D16" s="19"/>
      <c r="E16" s="5"/>
    </row>
    <row r="17" customFormat="false" ht="15" hidden="false" customHeight="false" outlineLevel="0" collapsed="false">
      <c r="A17" s="5"/>
      <c r="B17" s="5"/>
      <c r="C17" s="7"/>
      <c r="D17" s="19"/>
      <c r="E17" s="5"/>
    </row>
    <row r="18" customFormat="false" ht="15" hidden="false" customHeight="false" outlineLevel="0" collapsed="false">
      <c r="A18" s="5"/>
      <c r="B18" s="5"/>
      <c r="C18" s="7"/>
      <c r="D18" s="19"/>
      <c r="E18" s="5"/>
    </row>
    <row r="19" customFormat="false" ht="15" hidden="false" customHeight="false" outlineLevel="0" collapsed="false">
      <c r="A19" s="5"/>
      <c r="B19" s="5"/>
      <c r="C19" s="7"/>
      <c r="D19" s="19"/>
      <c r="E19" s="5"/>
    </row>
    <row r="20" customFormat="false" ht="15" hidden="false" customHeight="false" outlineLevel="0" collapsed="false">
      <c r="A20" s="5"/>
      <c r="B20" s="5"/>
      <c r="C20" s="7"/>
      <c r="D20" s="19"/>
      <c r="E20" s="5"/>
    </row>
    <row r="21" customFormat="false" ht="15" hidden="false" customHeight="false" outlineLevel="0" collapsed="false">
      <c r="A21" s="5"/>
      <c r="B21" s="5"/>
      <c r="C21" s="7"/>
      <c r="D21" s="19"/>
      <c r="E21" s="5"/>
    </row>
    <row r="22" customFormat="false" ht="15" hidden="false" customHeight="false" outlineLevel="0" collapsed="false">
      <c r="A22" s="5"/>
      <c r="B22" s="5"/>
      <c r="C22" s="7"/>
      <c r="D22" s="19"/>
      <c r="E22" s="5"/>
    </row>
    <row r="23" customFormat="false" ht="15" hidden="false" customHeight="false" outlineLevel="0" collapsed="false">
      <c r="A23" s="5"/>
      <c r="B23" s="5"/>
      <c r="C23" s="7"/>
      <c r="D23" s="19"/>
      <c r="E23" s="5"/>
    </row>
    <row r="24" customFormat="false" ht="15" hidden="false" customHeight="false" outlineLevel="0" collapsed="false">
      <c r="A24" s="5"/>
      <c r="B24" s="5"/>
      <c r="C24" s="7"/>
      <c r="D24" s="19"/>
      <c r="E24" s="5"/>
    </row>
    <row r="25" customFormat="false" ht="15" hidden="false" customHeight="false" outlineLevel="0" collapsed="false">
      <c r="A25" s="5"/>
      <c r="B25" s="5"/>
      <c r="C25" s="7"/>
      <c r="D25" s="19"/>
      <c r="E25" s="5"/>
    </row>
    <row r="26" customFormat="false" ht="15" hidden="false" customHeight="false" outlineLevel="0" collapsed="false">
      <c r="A26" s="5"/>
      <c r="B26" s="5"/>
      <c r="C26" s="7"/>
      <c r="D26" s="19"/>
      <c r="E26" s="5"/>
    </row>
    <row r="27" customFormat="false" ht="15" hidden="false" customHeight="false" outlineLevel="0" collapsed="false">
      <c r="A27" s="5"/>
      <c r="B27" s="5"/>
      <c r="C27" s="7"/>
      <c r="D27" s="19"/>
      <c r="E27" s="5"/>
    </row>
    <row r="28" customFormat="false" ht="15" hidden="false" customHeight="false" outlineLevel="0" collapsed="false">
      <c r="A28" s="5"/>
      <c r="B28" s="5"/>
      <c r="C28" s="7"/>
      <c r="D28" s="19"/>
      <c r="E28" s="5"/>
    </row>
    <row r="29" customFormat="false" ht="15" hidden="false" customHeight="false" outlineLevel="0" collapsed="false">
      <c r="A29" s="5"/>
      <c r="B29" s="5"/>
      <c r="C29" s="7"/>
      <c r="D29" s="19"/>
      <c r="E29" s="5"/>
    </row>
    <row r="30" customFormat="false" ht="15" hidden="false" customHeight="false" outlineLevel="0" collapsed="false">
      <c r="A30" s="5"/>
      <c r="B30" s="5"/>
      <c r="C30" s="7"/>
      <c r="D30" s="19"/>
      <c r="E30" s="5"/>
    </row>
    <row r="31" customFormat="false" ht="15" hidden="false" customHeight="false" outlineLevel="0" collapsed="false">
      <c r="A31" s="5"/>
      <c r="B31" s="5"/>
      <c r="C31" s="7"/>
      <c r="D31" s="19"/>
      <c r="E31" s="5"/>
    </row>
    <row r="32" customFormat="false" ht="15" hidden="false" customHeight="false" outlineLevel="0" collapsed="false">
      <c r="A32" s="5"/>
      <c r="B32" s="5"/>
      <c r="C32" s="7"/>
      <c r="D32" s="19"/>
      <c r="E32" s="5"/>
    </row>
    <row r="33" customFormat="false" ht="15" hidden="false" customHeight="false" outlineLevel="0" collapsed="false">
      <c r="A33" s="5"/>
      <c r="B33" s="5"/>
      <c r="C33" s="7"/>
      <c r="D33" s="19"/>
      <c r="E33" s="5"/>
    </row>
    <row r="34" customFormat="false" ht="15" hidden="false" customHeight="false" outlineLevel="0" collapsed="false">
      <c r="A34" s="5"/>
      <c r="B34" s="5"/>
      <c r="C34" s="7"/>
      <c r="D34" s="19"/>
      <c r="E34" s="5"/>
    </row>
    <row r="35" customFormat="false" ht="15" hidden="false" customHeight="false" outlineLevel="0" collapsed="false">
      <c r="A35" s="5"/>
      <c r="B35" s="5"/>
      <c r="C35" s="7"/>
      <c r="D35" s="19"/>
      <c r="E35" s="5"/>
    </row>
    <row r="36" customFormat="false" ht="15" hidden="false" customHeight="false" outlineLevel="0" collapsed="false">
      <c r="A36" s="5"/>
      <c r="B36" s="5"/>
      <c r="C36" s="7"/>
      <c r="D36" s="19"/>
      <c r="E36" s="5"/>
    </row>
    <row r="37" customFormat="false" ht="15" hidden="false" customHeight="false" outlineLevel="0" collapsed="false">
      <c r="A37" s="5"/>
      <c r="B37" s="5"/>
      <c r="C37" s="7"/>
      <c r="D37" s="19"/>
      <c r="E37" s="5"/>
    </row>
    <row r="38" customFormat="false" ht="15" hidden="false" customHeight="false" outlineLevel="0" collapsed="false">
      <c r="A38" s="5"/>
      <c r="B38" s="5"/>
      <c r="C38" s="7"/>
      <c r="D38" s="19"/>
      <c r="E38" s="5"/>
    </row>
    <row r="39" customFormat="false" ht="15" hidden="false" customHeight="false" outlineLevel="0" collapsed="false">
      <c r="A39" s="5"/>
      <c r="B39" s="5"/>
      <c r="C39" s="7"/>
      <c r="D39" s="19"/>
      <c r="E39" s="5"/>
    </row>
    <row r="40" customFormat="false" ht="15" hidden="false" customHeight="false" outlineLevel="0" collapsed="false">
      <c r="A40" s="5"/>
      <c r="B40" s="5"/>
      <c r="C40" s="7"/>
      <c r="D40" s="19"/>
      <c r="E40" s="5"/>
    </row>
    <row r="41" customFormat="false" ht="15" hidden="false" customHeight="false" outlineLevel="0" collapsed="false">
      <c r="A41" s="5"/>
      <c r="B41" s="5"/>
      <c r="C41" s="7"/>
      <c r="D41" s="19"/>
      <c r="E41" s="5"/>
    </row>
    <row r="42" customFormat="false" ht="15" hidden="false" customHeight="false" outlineLevel="0" collapsed="false">
      <c r="A42" s="5"/>
      <c r="B42" s="5"/>
      <c r="C42" s="7"/>
      <c r="D42" s="19"/>
      <c r="E42" s="5"/>
    </row>
    <row r="43" customFormat="false" ht="15" hidden="false" customHeight="false" outlineLevel="0" collapsed="false">
      <c r="A43" s="5"/>
      <c r="B43" s="5"/>
      <c r="C43" s="7"/>
      <c r="D43" s="19"/>
      <c r="E43" s="5"/>
    </row>
    <row r="44" customFormat="false" ht="15" hidden="false" customHeight="false" outlineLevel="0" collapsed="false">
      <c r="A44" s="5"/>
      <c r="B44" s="5"/>
      <c r="C44" s="7"/>
      <c r="D44" s="19"/>
      <c r="E44" s="5"/>
    </row>
    <row r="45" customFormat="false" ht="15" hidden="false" customHeight="false" outlineLevel="0" collapsed="false">
      <c r="A45" s="5"/>
      <c r="B45" s="5"/>
      <c r="C45" s="7"/>
      <c r="D45" s="19"/>
      <c r="E45" s="5"/>
    </row>
    <row r="46" customFormat="false" ht="15" hidden="false" customHeight="false" outlineLevel="0" collapsed="false">
      <c r="A46" s="5"/>
      <c r="B46" s="5"/>
      <c r="C46" s="7"/>
      <c r="D46" s="19"/>
      <c r="E46" s="5"/>
    </row>
    <row r="47" customFormat="false" ht="15" hidden="false" customHeight="false" outlineLevel="0" collapsed="false">
      <c r="A47" s="5"/>
      <c r="B47" s="5"/>
      <c r="C47" s="7"/>
      <c r="D47" s="19"/>
      <c r="E47" s="5"/>
    </row>
    <row r="48" customFormat="false" ht="15" hidden="false" customHeight="false" outlineLevel="0" collapsed="false">
      <c r="A48" s="5"/>
      <c r="B48" s="5"/>
      <c r="C48" s="7"/>
      <c r="D48" s="19"/>
      <c r="E48" s="5"/>
    </row>
    <row r="49" customFormat="false" ht="15" hidden="false" customHeight="false" outlineLevel="0" collapsed="false">
      <c r="A49" s="5"/>
      <c r="B49" s="5"/>
      <c r="C49" s="7"/>
      <c r="D49" s="19"/>
      <c r="E49" s="5"/>
    </row>
    <row r="50" customFormat="false" ht="15" hidden="false" customHeight="false" outlineLevel="0" collapsed="false">
      <c r="A50" s="5"/>
      <c r="B50" s="5"/>
      <c r="C50" s="7"/>
      <c r="D50" s="19"/>
      <c r="E50" s="5"/>
    </row>
    <row r="51" customFormat="false" ht="15" hidden="false" customHeight="false" outlineLevel="0" collapsed="false">
      <c r="A51" s="5"/>
      <c r="B51" s="5"/>
      <c r="C51" s="7"/>
      <c r="D51" s="19"/>
      <c r="E51" s="5"/>
    </row>
    <row r="52" customFormat="false" ht="15" hidden="false" customHeight="false" outlineLevel="0" collapsed="false">
      <c r="A52" s="5"/>
      <c r="B52" s="5"/>
      <c r="C52" s="7"/>
      <c r="D52" s="19"/>
      <c r="E52" s="5"/>
    </row>
    <row r="53" customFormat="false" ht="15" hidden="false" customHeight="false" outlineLevel="0" collapsed="false">
      <c r="A53" s="5"/>
      <c r="B53" s="5"/>
      <c r="C53" s="7"/>
      <c r="D53" s="19"/>
      <c r="E53" s="5"/>
    </row>
    <row r="54" customFormat="false" ht="15" hidden="false" customHeight="false" outlineLevel="0" collapsed="false">
      <c r="A54" s="5"/>
      <c r="B54" s="5"/>
      <c r="C54" s="7"/>
      <c r="D54" s="19"/>
      <c r="E54" s="5"/>
    </row>
    <row r="55" customFormat="false" ht="15" hidden="false" customHeight="false" outlineLevel="0" collapsed="false">
      <c r="A55" s="5"/>
      <c r="B55" s="5"/>
      <c r="C55" s="7"/>
      <c r="D55" s="19"/>
      <c r="E55" s="5"/>
    </row>
    <row r="56" customFormat="false" ht="15" hidden="false" customHeight="false" outlineLevel="0" collapsed="false">
      <c r="A56" s="5"/>
      <c r="B56" s="5"/>
      <c r="C56" s="7"/>
      <c r="D56" s="19"/>
      <c r="E56" s="5"/>
    </row>
    <row r="57" customFormat="false" ht="15" hidden="false" customHeight="false" outlineLevel="0" collapsed="false">
      <c r="A57" s="5"/>
      <c r="B57" s="5"/>
      <c r="C57" s="7"/>
      <c r="D57" s="19"/>
      <c r="E57" s="5"/>
    </row>
    <row r="58" customFormat="false" ht="15" hidden="false" customHeight="false" outlineLevel="0" collapsed="false">
      <c r="A58" s="5"/>
      <c r="B58" s="5"/>
      <c r="C58" s="7"/>
      <c r="D58" s="19"/>
      <c r="E58" s="5"/>
    </row>
    <row r="59" customFormat="false" ht="15" hidden="false" customHeight="false" outlineLevel="0" collapsed="false">
      <c r="A59" s="5"/>
      <c r="B59" s="5"/>
      <c r="C59" s="7"/>
      <c r="D59" s="19"/>
      <c r="E59" s="5"/>
    </row>
    <row r="60" customFormat="false" ht="15" hidden="false" customHeight="false" outlineLevel="0" collapsed="false">
      <c r="A60" s="5"/>
      <c r="B60" s="5"/>
      <c r="C60" s="7"/>
      <c r="D60" s="19"/>
      <c r="E60" s="5"/>
    </row>
    <row r="61" customFormat="false" ht="15" hidden="false" customHeight="false" outlineLevel="0" collapsed="false">
      <c r="A61" s="5"/>
      <c r="B61" s="5"/>
      <c r="C61" s="7"/>
      <c r="D61" s="19"/>
      <c r="E61" s="5"/>
    </row>
    <row r="62" customFormat="false" ht="15" hidden="false" customHeight="false" outlineLevel="0" collapsed="false">
      <c r="A62" s="5"/>
      <c r="B62" s="5"/>
      <c r="C62" s="7"/>
      <c r="D62" s="19"/>
      <c r="E62" s="5"/>
    </row>
    <row r="63" customFormat="false" ht="15" hidden="false" customHeight="false" outlineLevel="0" collapsed="false">
      <c r="A63" s="5"/>
      <c r="B63" s="5"/>
      <c r="C63" s="7"/>
      <c r="D63" s="19"/>
      <c r="E63" s="5"/>
    </row>
    <row r="64" customFormat="false" ht="15" hidden="false" customHeight="false" outlineLevel="0" collapsed="false">
      <c r="A64" s="5"/>
      <c r="B64" s="5"/>
      <c r="C64" s="7"/>
      <c r="D64" s="19"/>
      <c r="E64" s="5"/>
    </row>
    <row r="65" customFormat="false" ht="15" hidden="false" customHeight="false" outlineLevel="0" collapsed="false">
      <c r="A65" s="5"/>
      <c r="B65" s="5"/>
      <c r="C65" s="7"/>
      <c r="D65" s="19"/>
      <c r="E65" s="5"/>
    </row>
    <row r="66" customFormat="false" ht="15" hidden="false" customHeight="false" outlineLevel="0" collapsed="false">
      <c r="A66" s="5"/>
      <c r="B66" s="5"/>
      <c r="C66" s="7"/>
      <c r="D66" s="19"/>
      <c r="E66" s="5"/>
    </row>
    <row r="67" customFormat="false" ht="15" hidden="false" customHeight="false" outlineLevel="0" collapsed="false">
      <c r="A67" s="5"/>
      <c r="B67" s="5"/>
      <c r="C67" s="7"/>
      <c r="D67" s="19"/>
      <c r="E67" s="5"/>
    </row>
    <row r="68" customFormat="false" ht="15" hidden="false" customHeight="false" outlineLevel="0" collapsed="false">
      <c r="A68" s="5"/>
      <c r="B68" s="5"/>
      <c r="C68" s="7"/>
      <c r="D68" s="19"/>
      <c r="E68" s="5"/>
    </row>
    <row r="69" customFormat="false" ht="15" hidden="false" customHeight="false" outlineLevel="0" collapsed="false">
      <c r="A69" s="5"/>
      <c r="B69" s="5"/>
      <c r="C69" s="7"/>
      <c r="D69" s="19"/>
      <c r="E69" s="5"/>
    </row>
    <row r="70" customFormat="false" ht="15" hidden="false" customHeight="false" outlineLevel="0" collapsed="false">
      <c r="A70" s="5"/>
      <c r="B70" s="5"/>
      <c r="C70" s="7"/>
      <c r="D70" s="19"/>
      <c r="E70" s="5"/>
    </row>
    <row r="71" customFormat="false" ht="15" hidden="false" customHeight="false" outlineLevel="0" collapsed="false">
      <c r="A71" s="5"/>
      <c r="B71" s="5"/>
      <c r="C71" s="7"/>
      <c r="D71" s="19"/>
      <c r="E71" s="5"/>
    </row>
    <row r="72" customFormat="false" ht="15" hidden="false" customHeight="false" outlineLevel="0" collapsed="false">
      <c r="A72" s="5"/>
      <c r="B72" s="5"/>
      <c r="C72" s="7"/>
      <c r="D72" s="19"/>
      <c r="E72" s="5"/>
    </row>
    <row r="73" customFormat="false" ht="15" hidden="false" customHeight="false" outlineLevel="0" collapsed="false">
      <c r="A73" s="5"/>
      <c r="B73" s="5"/>
      <c r="C73" s="7"/>
      <c r="D73" s="19"/>
      <c r="E73" s="5"/>
    </row>
    <row r="74" customFormat="false" ht="15" hidden="false" customHeight="false" outlineLevel="0" collapsed="false">
      <c r="A74" s="5"/>
      <c r="B74" s="5"/>
      <c r="C74" s="7"/>
      <c r="D74" s="19"/>
      <c r="E74" s="5"/>
    </row>
    <row r="75" customFormat="false" ht="15" hidden="false" customHeight="false" outlineLevel="0" collapsed="false">
      <c r="A75" s="5"/>
      <c r="B75" s="5"/>
      <c r="C75" s="7"/>
      <c r="D75" s="19"/>
      <c r="E75" s="5"/>
    </row>
    <row r="76" customFormat="false" ht="15" hidden="false" customHeight="false" outlineLevel="0" collapsed="false">
      <c r="A76" s="5"/>
      <c r="B76" s="5"/>
      <c r="C76" s="7"/>
      <c r="D76" s="19"/>
      <c r="E76" s="5"/>
    </row>
    <row r="77" customFormat="false" ht="15" hidden="false" customHeight="false" outlineLevel="0" collapsed="false">
      <c r="A77" s="5"/>
      <c r="B77" s="5"/>
      <c r="C77" s="7"/>
      <c r="D77" s="19"/>
      <c r="E77" s="5"/>
    </row>
    <row r="78" customFormat="false" ht="15" hidden="false" customHeight="false" outlineLevel="0" collapsed="false">
      <c r="A78" s="5"/>
      <c r="B78" s="5"/>
      <c r="C78" s="7"/>
      <c r="D78" s="19"/>
      <c r="E78" s="5"/>
    </row>
    <row r="79" customFormat="false" ht="15" hidden="false" customHeight="false" outlineLevel="0" collapsed="false">
      <c r="A79" s="5"/>
      <c r="B79" s="5"/>
      <c r="C79" s="7"/>
      <c r="D79" s="19"/>
      <c r="E79" s="5"/>
    </row>
    <row r="80" customFormat="false" ht="15" hidden="false" customHeight="false" outlineLevel="0" collapsed="false">
      <c r="A80" s="5"/>
      <c r="B80" s="5"/>
      <c r="C80" s="7"/>
      <c r="D80" s="19"/>
      <c r="E80" s="5"/>
    </row>
    <row r="81" customFormat="false" ht="15" hidden="false" customHeight="false" outlineLevel="0" collapsed="false">
      <c r="A81" s="5"/>
      <c r="B81" s="5"/>
      <c r="C81" s="7"/>
      <c r="D81" s="19"/>
      <c r="E81" s="5"/>
    </row>
    <row r="82" customFormat="false" ht="15" hidden="false" customHeight="false" outlineLevel="0" collapsed="false">
      <c r="A82" s="5"/>
      <c r="B82" s="5"/>
      <c r="C82" s="7"/>
      <c r="D82" s="19"/>
      <c r="E82" s="5"/>
    </row>
    <row r="83" customFormat="false" ht="15" hidden="false" customHeight="false" outlineLevel="0" collapsed="false">
      <c r="A83" s="5"/>
      <c r="B83" s="5"/>
      <c r="C83" s="7"/>
      <c r="D83" s="19"/>
      <c r="E83" s="5"/>
    </row>
    <row r="84" customFormat="false" ht="15" hidden="false" customHeight="false" outlineLevel="0" collapsed="false">
      <c r="A84" s="5"/>
      <c r="B84" s="5"/>
      <c r="C84" s="7"/>
      <c r="D84" s="19"/>
      <c r="E84" s="5"/>
    </row>
    <row r="85" customFormat="false" ht="15" hidden="false" customHeight="false" outlineLevel="0" collapsed="false">
      <c r="A85" s="5"/>
      <c r="B85" s="5"/>
      <c r="C85" s="7"/>
      <c r="D85" s="19"/>
      <c r="E85" s="5"/>
    </row>
    <row r="86" customFormat="false" ht="15" hidden="false" customHeight="false" outlineLevel="0" collapsed="false">
      <c r="A86" s="5"/>
      <c r="B86" s="5"/>
      <c r="C86" s="7"/>
      <c r="D86" s="19"/>
      <c r="E86" s="5"/>
    </row>
    <row r="87" customFormat="false" ht="15" hidden="false" customHeight="false" outlineLevel="0" collapsed="false">
      <c r="A87" s="5"/>
      <c r="B87" s="5"/>
      <c r="C87" s="7"/>
      <c r="D87" s="19"/>
      <c r="E87" s="5"/>
    </row>
    <row r="88" customFormat="false" ht="15" hidden="false" customHeight="false" outlineLevel="0" collapsed="false">
      <c r="A88" s="5"/>
      <c r="B88" s="5"/>
      <c r="C88" s="7"/>
      <c r="D88" s="19"/>
      <c r="E88" s="5"/>
    </row>
    <row r="89" customFormat="false" ht="15" hidden="false" customHeight="false" outlineLevel="0" collapsed="false">
      <c r="A89" s="5"/>
      <c r="B89" s="5"/>
      <c r="C89" s="7"/>
      <c r="D89" s="19"/>
      <c r="E89" s="5"/>
    </row>
    <row r="90" customFormat="false" ht="15" hidden="false" customHeight="false" outlineLevel="0" collapsed="false">
      <c r="A90" s="5"/>
      <c r="B90" s="5"/>
      <c r="C90" s="7"/>
      <c r="D90" s="19"/>
      <c r="E90" s="5"/>
    </row>
    <row r="91" customFormat="false" ht="15" hidden="false" customHeight="false" outlineLevel="0" collapsed="false">
      <c r="A91" s="5"/>
      <c r="B91" s="5"/>
      <c r="C91" s="7"/>
      <c r="D91" s="19"/>
      <c r="E91" s="5"/>
    </row>
    <row r="92" customFormat="false" ht="15" hidden="false" customHeight="false" outlineLevel="0" collapsed="false">
      <c r="A92" s="5"/>
      <c r="B92" s="5"/>
      <c r="C92" s="7"/>
      <c r="D92" s="19"/>
      <c r="E92" s="5"/>
    </row>
    <row r="93" customFormat="false" ht="15" hidden="false" customHeight="false" outlineLevel="0" collapsed="false">
      <c r="A93" s="5"/>
      <c r="B93" s="5"/>
      <c r="C93" s="7"/>
      <c r="D93" s="19"/>
      <c r="E93" s="5"/>
    </row>
    <row r="94" customFormat="false" ht="15" hidden="false" customHeight="false" outlineLevel="0" collapsed="false">
      <c r="A94" s="5"/>
      <c r="B94" s="5"/>
      <c r="C94" s="7"/>
      <c r="D94" s="19"/>
      <c r="E94" s="5"/>
    </row>
    <row r="95" customFormat="false" ht="15" hidden="false" customHeight="false" outlineLevel="0" collapsed="false">
      <c r="A95" s="5"/>
      <c r="B95" s="5"/>
      <c r="C95" s="7"/>
      <c r="D95" s="19"/>
      <c r="E95" s="5"/>
    </row>
    <row r="96" customFormat="false" ht="15" hidden="false" customHeight="false" outlineLevel="0" collapsed="false">
      <c r="A96" s="5"/>
      <c r="B96" s="5"/>
      <c r="C96" s="7"/>
      <c r="D96" s="19"/>
      <c r="E96" s="5"/>
    </row>
    <row r="97" customFormat="false" ht="15" hidden="false" customHeight="false" outlineLevel="0" collapsed="false">
      <c r="A97" s="5"/>
      <c r="B97" s="5"/>
      <c r="C97" s="7"/>
      <c r="D97" s="19"/>
      <c r="E97" s="5"/>
    </row>
    <row r="98" customFormat="false" ht="15" hidden="false" customHeight="false" outlineLevel="0" collapsed="false">
      <c r="A98" s="5"/>
      <c r="B98" s="5"/>
      <c r="C98" s="7"/>
      <c r="D98" s="19"/>
      <c r="E98" s="5"/>
    </row>
    <row r="99" customFormat="false" ht="15" hidden="false" customHeight="false" outlineLevel="0" collapsed="false">
      <c r="A99" s="5"/>
      <c r="B99" s="5"/>
      <c r="C99" s="7"/>
      <c r="D99" s="19"/>
      <c r="E99" s="5"/>
    </row>
    <row r="100" customFormat="false" ht="15" hidden="false" customHeight="false" outlineLevel="0" collapsed="false">
      <c r="A100" s="5"/>
      <c r="B100" s="5"/>
      <c r="C100" s="7"/>
      <c r="D100" s="19"/>
      <c r="E100" s="5"/>
    </row>
    <row r="101" customFormat="false" ht="15" hidden="false" customHeight="false" outlineLevel="0" collapsed="false">
      <c r="A101" s="5"/>
      <c r="B101" s="5"/>
      <c r="C101" s="7"/>
      <c r="D101" s="19"/>
      <c r="E101" s="5"/>
    </row>
  </sheetData>
  <dataValidations count="1">
    <dataValidation allowBlank="true" errorStyle="stop" operator="between" showDropDown="false" showErrorMessage="false" showInputMessage="false" sqref="B2:B101" type="list">
      <formula1>"פגישת מכירה,סקר בית,הצעה וחתימה,הכנה אצל גיא,עבודת חשמל (ליווי),התקנה ורשת,בדיקות קבלה,מסירה והדרכה,מעקב אחרי מסירה"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33.75" hidden="false" customHeight="true" outlineLevel="0" collapsed="false">
      <c r="A1" s="4" t="s">
        <v>112</v>
      </c>
      <c r="B1" s="4" t="s">
        <v>15</v>
      </c>
      <c r="C1" s="4" t="s">
        <v>113</v>
      </c>
      <c r="D1" s="4" t="s">
        <v>114</v>
      </c>
      <c r="E1" s="4" t="s">
        <v>115</v>
      </c>
      <c r="F1" s="4" t="s">
        <v>26</v>
      </c>
      <c r="G1" s="4" t="s">
        <v>116</v>
      </c>
      <c r="H1" s="4" t="s">
        <v>117</v>
      </c>
      <c r="I1" s="4" t="s">
        <v>41</v>
      </c>
    </row>
    <row r="2" customFormat="false" ht="23.85" hidden="false" customHeight="false" outlineLevel="0" collapsed="false">
      <c r="A2" s="5" t="s">
        <v>118</v>
      </c>
      <c r="B2" s="5" t="s">
        <v>42</v>
      </c>
      <c r="C2" s="20" t="n">
        <v>46316.3819444445</v>
      </c>
      <c r="D2" s="5" t="s">
        <v>119</v>
      </c>
      <c r="E2" s="5" t="s">
        <v>120</v>
      </c>
      <c r="F2" s="5" t="s">
        <v>121</v>
      </c>
      <c r="G2" s="20" t="n">
        <v>46316.4861111111</v>
      </c>
      <c r="H2" s="10" t="n">
        <f aca="false">IF(OR($C2="",$G2=""),"",ROUND(($G2-$C2)*24,1))</f>
        <v>2.5</v>
      </c>
      <c r="I2" s="5" t="s">
        <v>122</v>
      </c>
    </row>
    <row r="3" customFormat="false" ht="15" hidden="false" customHeight="false" outlineLevel="0" collapsed="false">
      <c r="A3" s="5" t="s">
        <v>123</v>
      </c>
      <c r="B3" s="5" t="s">
        <v>42</v>
      </c>
      <c r="C3" s="20" t="n">
        <v>46328.75</v>
      </c>
      <c r="D3" s="5" t="s">
        <v>124</v>
      </c>
      <c r="E3" s="5" t="s">
        <v>125</v>
      </c>
      <c r="F3" s="5" t="s">
        <v>126</v>
      </c>
      <c r="G3" s="20"/>
      <c r="H3" s="10" t="str">
        <f aca="false">IF(OR($C3="",$G3=""),"",ROUND(($G3-$C3)*24,1))</f>
        <v/>
      </c>
      <c r="I3" s="5" t="s">
        <v>127</v>
      </c>
    </row>
    <row r="4" customFormat="false" ht="15" hidden="false" customHeight="false" outlineLevel="0" collapsed="false">
      <c r="A4" s="5"/>
      <c r="B4" s="5"/>
      <c r="C4" s="20"/>
      <c r="D4" s="5"/>
      <c r="E4" s="5"/>
      <c r="F4" s="5"/>
      <c r="G4" s="20"/>
      <c r="H4" s="10" t="str">
        <f aca="false">IF(OR($C4="",$G4=""),"",ROUND(($G4-$C4)*24,1))</f>
        <v/>
      </c>
      <c r="I4" s="5"/>
    </row>
    <row r="5" customFormat="false" ht="15" hidden="false" customHeight="false" outlineLevel="0" collapsed="false">
      <c r="A5" s="5"/>
      <c r="B5" s="5"/>
      <c r="C5" s="20"/>
      <c r="D5" s="5"/>
      <c r="E5" s="5"/>
      <c r="F5" s="5"/>
      <c r="G5" s="20"/>
      <c r="H5" s="10" t="str">
        <f aca="false">IF(OR($C5="",$G5=""),"",ROUND(($G5-$C5)*24,1))</f>
        <v/>
      </c>
      <c r="I5" s="5"/>
    </row>
    <row r="6" customFormat="false" ht="15" hidden="false" customHeight="false" outlineLevel="0" collapsed="false">
      <c r="A6" s="5"/>
      <c r="B6" s="5"/>
      <c r="C6" s="20"/>
      <c r="D6" s="5"/>
      <c r="E6" s="5"/>
      <c r="F6" s="5"/>
      <c r="G6" s="20"/>
      <c r="H6" s="10" t="str">
        <f aca="false">IF(OR($C6="",$G6=""),"",ROUND(($G6-$C6)*24,1))</f>
        <v/>
      </c>
      <c r="I6" s="5"/>
    </row>
    <row r="7" customFormat="false" ht="15" hidden="false" customHeight="false" outlineLevel="0" collapsed="false">
      <c r="A7" s="5"/>
      <c r="B7" s="5"/>
      <c r="C7" s="20"/>
      <c r="D7" s="5"/>
      <c r="E7" s="5"/>
      <c r="F7" s="5"/>
      <c r="G7" s="20"/>
      <c r="H7" s="10" t="str">
        <f aca="false">IF(OR($C7="",$G7=""),"",ROUND(($G7-$C7)*24,1))</f>
        <v/>
      </c>
      <c r="I7" s="5"/>
    </row>
    <row r="8" customFormat="false" ht="15" hidden="false" customHeight="false" outlineLevel="0" collapsed="false">
      <c r="A8" s="5"/>
      <c r="B8" s="5"/>
      <c r="C8" s="20"/>
      <c r="D8" s="5"/>
      <c r="E8" s="5"/>
      <c r="F8" s="5"/>
      <c r="G8" s="20"/>
      <c r="H8" s="10" t="str">
        <f aca="false">IF(OR($C8="",$G8=""),"",ROUND(($G8-$C8)*24,1))</f>
        <v/>
      </c>
      <c r="I8" s="5"/>
    </row>
    <row r="9" customFormat="false" ht="15" hidden="false" customHeight="false" outlineLevel="0" collapsed="false">
      <c r="A9" s="5"/>
      <c r="B9" s="5"/>
      <c r="C9" s="20"/>
      <c r="D9" s="5"/>
      <c r="E9" s="5"/>
      <c r="F9" s="5"/>
      <c r="G9" s="20"/>
      <c r="H9" s="10" t="str">
        <f aca="false">IF(OR($C9="",$G9=""),"",ROUND(($G9-$C9)*24,1))</f>
        <v/>
      </c>
      <c r="I9" s="5"/>
    </row>
    <row r="10" customFormat="false" ht="15" hidden="false" customHeight="false" outlineLevel="0" collapsed="false">
      <c r="A10" s="5"/>
      <c r="B10" s="5"/>
      <c r="C10" s="20"/>
      <c r="D10" s="5"/>
      <c r="E10" s="5"/>
      <c r="F10" s="5"/>
      <c r="G10" s="20"/>
      <c r="H10" s="10" t="str">
        <f aca="false">IF(OR($C10="",$G10=""),"",ROUND(($G10-$C10)*24,1))</f>
        <v/>
      </c>
      <c r="I10" s="5"/>
    </row>
    <row r="11" customFormat="false" ht="15" hidden="false" customHeight="false" outlineLevel="0" collapsed="false">
      <c r="A11" s="5"/>
      <c r="B11" s="5"/>
      <c r="C11" s="20"/>
      <c r="D11" s="5"/>
      <c r="E11" s="5"/>
      <c r="F11" s="5"/>
      <c r="G11" s="20"/>
      <c r="H11" s="10" t="str">
        <f aca="false">IF(OR($C11="",$G11=""),"",ROUND(($G11-$C11)*24,1))</f>
        <v/>
      </c>
      <c r="I11" s="5"/>
    </row>
    <row r="12" customFormat="false" ht="15" hidden="false" customHeight="false" outlineLevel="0" collapsed="false">
      <c r="A12" s="5"/>
      <c r="B12" s="5"/>
      <c r="C12" s="20"/>
      <c r="D12" s="5"/>
      <c r="E12" s="5"/>
      <c r="F12" s="5"/>
      <c r="G12" s="20"/>
      <c r="H12" s="10" t="str">
        <f aca="false">IF(OR($C12="",$G12=""),"",ROUND(($G12-$C12)*24,1))</f>
        <v/>
      </c>
      <c r="I12" s="5"/>
    </row>
    <row r="13" customFormat="false" ht="15" hidden="false" customHeight="false" outlineLevel="0" collapsed="false">
      <c r="A13" s="5"/>
      <c r="B13" s="5"/>
      <c r="C13" s="20"/>
      <c r="D13" s="5"/>
      <c r="E13" s="5"/>
      <c r="F13" s="5"/>
      <c r="G13" s="20"/>
      <c r="H13" s="10" t="str">
        <f aca="false">IF(OR($C13="",$G13=""),"",ROUND(($G13-$C13)*24,1))</f>
        <v/>
      </c>
      <c r="I13" s="5"/>
    </row>
    <row r="14" customFormat="false" ht="15" hidden="false" customHeight="false" outlineLevel="0" collapsed="false">
      <c r="A14" s="5"/>
      <c r="B14" s="5"/>
      <c r="C14" s="20"/>
      <c r="D14" s="5"/>
      <c r="E14" s="5"/>
      <c r="F14" s="5"/>
      <c r="G14" s="20"/>
      <c r="H14" s="10" t="str">
        <f aca="false">IF(OR($C14="",$G14=""),"",ROUND(($G14-$C14)*24,1))</f>
        <v/>
      </c>
      <c r="I14" s="5"/>
    </row>
    <row r="15" customFormat="false" ht="15" hidden="false" customHeight="false" outlineLevel="0" collapsed="false">
      <c r="A15" s="5"/>
      <c r="B15" s="5"/>
      <c r="C15" s="20"/>
      <c r="D15" s="5"/>
      <c r="E15" s="5"/>
      <c r="F15" s="5"/>
      <c r="G15" s="20"/>
      <c r="H15" s="10" t="str">
        <f aca="false">IF(OR($C15="",$G15=""),"",ROUND(($G15-$C15)*24,1))</f>
        <v/>
      </c>
      <c r="I15" s="5"/>
    </row>
    <row r="16" customFormat="false" ht="15" hidden="false" customHeight="false" outlineLevel="0" collapsed="false">
      <c r="A16" s="5"/>
      <c r="B16" s="5"/>
      <c r="C16" s="20"/>
      <c r="D16" s="5"/>
      <c r="E16" s="5"/>
      <c r="F16" s="5"/>
      <c r="G16" s="20"/>
      <c r="H16" s="10" t="str">
        <f aca="false">IF(OR($C16="",$G16=""),"",ROUND(($G16-$C16)*24,1))</f>
        <v/>
      </c>
      <c r="I16" s="5"/>
    </row>
    <row r="17" customFormat="false" ht="15" hidden="false" customHeight="false" outlineLevel="0" collapsed="false">
      <c r="A17" s="5"/>
      <c r="B17" s="5"/>
      <c r="C17" s="20"/>
      <c r="D17" s="5"/>
      <c r="E17" s="5"/>
      <c r="F17" s="5"/>
      <c r="G17" s="20"/>
      <c r="H17" s="10" t="str">
        <f aca="false">IF(OR($C17="",$G17=""),"",ROUND(($G17-$C17)*24,1))</f>
        <v/>
      </c>
      <c r="I17" s="5"/>
    </row>
    <row r="18" customFormat="false" ht="15" hidden="false" customHeight="false" outlineLevel="0" collapsed="false">
      <c r="A18" s="5"/>
      <c r="B18" s="5"/>
      <c r="C18" s="20"/>
      <c r="D18" s="5"/>
      <c r="E18" s="5"/>
      <c r="F18" s="5"/>
      <c r="G18" s="20"/>
      <c r="H18" s="10" t="str">
        <f aca="false">IF(OR($C18="",$G18=""),"",ROUND(($G18-$C18)*24,1))</f>
        <v/>
      </c>
      <c r="I18" s="5"/>
    </row>
    <row r="19" customFormat="false" ht="15" hidden="false" customHeight="false" outlineLevel="0" collapsed="false">
      <c r="A19" s="5"/>
      <c r="B19" s="5"/>
      <c r="C19" s="20"/>
      <c r="D19" s="5"/>
      <c r="E19" s="5"/>
      <c r="F19" s="5"/>
      <c r="G19" s="20"/>
      <c r="H19" s="10" t="str">
        <f aca="false">IF(OR($C19="",$G19=""),"",ROUND(($G19-$C19)*24,1))</f>
        <v/>
      </c>
      <c r="I19" s="5"/>
    </row>
    <row r="20" customFormat="false" ht="15" hidden="false" customHeight="false" outlineLevel="0" collapsed="false">
      <c r="A20" s="5"/>
      <c r="B20" s="5"/>
      <c r="C20" s="20"/>
      <c r="D20" s="5"/>
      <c r="E20" s="5"/>
      <c r="F20" s="5"/>
      <c r="G20" s="20"/>
      <c r="H20" s="10" t="str">
        <f aca="false">IF(OR($C20="",$G20=""),"",ROUND(($G20-$C20)*24,1))</f>
        <v/>
      </c>
      <c r="I20" s="5"/>
    </row>
    <row r="21" customFormat="false" ht="15" hidden="false" customHeight="false" outlineLevel="0" collapsed="false">
      <c r="A21" s="5"/>
      <c r="B21" s="5"/>
      <c r="C21" s="20"/>
      <c r="D21" s="5"/>
      <c r="E21" s="5"/>
      <c r="F21" s="5"/>
      <c r="G21" s="20"/>
      <c r="H21" s="10" t="str">
        <f aca="false">IF(OR($C21="",$G21=""),"",ROUND(($G21-$C21)*24,1))</f>
        <v/>
      </c>
      <c r="I21" s="5"/>
    </row>
    <row r="22" customFormat="false" ht="15" hidden="false" customHeight="false" outlineLevel="0" collapsed="false">
      <c r="A22" s="5"/>
      <c r="B22" s="5"/>
      <c r="C22" s="20"/>
      <c r="D22" s="5"/>
      <c r="E22" s="5"/>
      <c r="F22" s="5"/>
      <c r="G22" s="20"/>
      <c r="H22" s="10" t="str">
        <f aca="false">IF(OR($C22="",$G22=""),"",ROUND(($G22-$C22)*24,1))</f>
        <v/>
      </c>
      <c r="I22" s="5"/>
    </row>
    <row r="23" customFormat="false" ht="15" hidden="false" customHeight="false" outlineLevel="0" collapsed="false">
      <c r="A23" s="5"/>
      <c r="B23" s="5"/>
      <c r="C23" s="20"/>
      <c r="D23" s="5"/>
      <c r="E23" s="5"/>
      <c r="F23" s="5"/>
      <c r="G23" s="20"/>
      <c r="H23" s="10" t="str">
        <f aca="false">IF(OR($C23="",$G23=""),"",ROUND(($G23-$C23)*24,1))</f>
        <v/>
      </c>
      <c r="I23" s="5"/>
    </row>
    <row r="24" customFormat="false" ht="15" hidden="false" customHeight="false" outlineLevel="0" collapsed="false">
      <c r="A24" s="5"/>
      <c r="B24" s="5"/>
      <c r="C24" s="20"/>
      <c r="D24" s="5"/>
      <c r="E24" s="5"/>
      <c r="F24" s="5"/>
      <c r="G24" s="20"/>
      <c r="H24" s="10" t="str">
        <f aca="false">IF(OR($C24="",$G24=""),"",ROUND(($G24-$C24)*24,1))</f>
        <v/>
      </c>
      <c r="I24" s="5"/>
    </row>
    <row r="25" customFormat="false" ht="15" hidden="false" customHeight="false" outlineLevel="0" collapsed="false">
      <c r="A25" s="5"/>
      <c r="B25" s="5"/>
      <c r="C25" s="20"/>
      <c r="D25" s="5"/>
      <c r="E25" s="5"/>
      <c r="F25" s="5"/>
      <c r="G25" s="20"/>
      <c r="H25" s="10" t="str">
        <f aca="false">IF(OR($C25="",$G25=""),"",ROUND(($G25-$C25)*24,1))</f>
        <v/>
      </c>
      <c r="I25" s="5"/>
    </row>
    <row r="26" customFormat="false" ht="15" hidden="false" customHeight="false" outlineLevel="0" collapsed="false">
      <c r="A26" s="5"/>
      <c r="B26" s="5"/>
      <c r="C26" s="20"/>
      <c r="D26" s="5"/>
      <c r="E26" s="5"/>
      <c r="F26" s="5"/>
      <c r="G26" s="20"/>
      <c r="H26" s="10" t="str">
        <f aca="false">IF(OR($C26="",$G26=""),"",ROUND(($G26-$C26)*24,1))</f>
        <v/>
      </c>
      <c r="I26" s="5"/>
    </row>
    <row r="27" customFormat="false" ht="15" hidden="false" customHeight="false" outlineLevel="0" collapsed="false">
      <c r="A27" s="5"/>
      <c r="B27" s="5"/>
      <c r="C27" s="20"/>
      <c r="D27" s="5"/>
      <c r="E27" s="5"/>
      <c r="F27" s="5"/>
      <c r="G27" s="20"/>
      <c r="H27" s="10" t="str">
        <f aca="false">IF(OR($C27="",$G27=""),"",ROUND(($G27-$C27)*24,1))</f>
        <v/>
      </c>
      <c r="I27" s="5"/>
    </row>
    <row r="28" customFormat="false" ht="15" hidden="false" customHeight="false" outlineLevel="0" collapsed="false">
      <c r="A28" s="5"/>
      <c r="B28" s="5"/>
      <c r="C28" s="20"/>
      <c r="D28" s="5"/>
      <c r="E28" s="5"/>
      <c r="F28" s="5"/>
      <c r="G28" s="20"/>
      <c r="H28" s="10" t="str">
        <f aca="false">IF(OR($C28="",$G28=""),"",ROUND(($G28-$C28)*24,1))</f>
        <v/>
      </c>
      <c r="I28" s="5"/>
    </row>
    <row r="29" customFormat="false" ht="15" hidden="false" customHeight="false" outlineLevel="0" collapsed="false">
      <c r="A29" s="5"/>
      <c r="B29" s="5"/>
      <c r="C29" s="20"/>
      <c r="D29" s="5"/>
      <c r="E29" s="5"/>
      <c r="F29" s="5"/>
      <c r="G29" s="20"/>
      <c r="H29" s="10" t="str">
        <f aca="false">IF(OR($C29="",$G29=""),"",ROUND(($G29-$C29)*24,1))</f>
        <v/>
      </c>
      <c r="I29" s="5"/>
    </row>
    <row r="30" customFormat="false" ht="15" hidden="false" customHeight="false" outlineLevel="0" collapsed="false">
      <c r="A30" s="5"/>
      <c r="B30" s="5"/>
      <c r="C30" s="20"/>
      <c r="D30" s="5"/>
      <c r="E30" s="5"/>
      <c r="F30" s="5"/>
      <c r="G30" s="20"/>
      <c r="H30" s="10" t="str">
        <f aca="false">IF(OR($C30="",$G30=""),"",ROUND(($G30-$C30)*24,1))</f>
        <v/>
      </c>
      <c r="I30" s="5"/>
    </row>
    <row r="31" customFormat="false" ht="15" hidden="false" customHeight="false" outlineLevel="0" collapsed="false">
      <c r="A31" s="5"/>
      <c r="B31" s="5"/>
      <c r="C31" s="20"/>
      <c r="D31" s="5"/>
      <c r="E31" s="5"/>
      <c r="F31" s="5"/>
      <c r="G31" s="20"/>
      <c r="H31" s="10" t="str">
        <f aca="false">IF(OR($C31="",$G31=""),"",ROUND(($G31-$C31)*24,1))</f>
        <v/>
      </c>
      <c r="I31" s="5"/>
    </row>
    <row r="32" customFormat="false" ht="15" hidden="false" customHeight="false" outlineLevel="0" collapsed="false">
      <c r="A32" s="5"/>
      <c r="B32" s="5"/>
      <c r="C32" s="20"/>
      <c r="D32" s="5"/>
      <c r="E32" s="5"/>
      <c r="F32" s="5"/>
      <c r="G32" s="20"/>
      <c r="H32" s="10" t="str">
        <f aca="false">IF(OR($C32="",$G32=""),"",ROUND(($G32-$C32)*24,1))</f>
        <v/>
      </c>
      <c r="I32" s="5"/>
    </row>
    <row r="33" customFormat="false" ht="15" hidden="false" customHeight="false" outlineLevel="0" collapsed="false">
      <c r="A33" s="5"/>
      <c r="B33" s="5"/>
      <c r="C33" s="20"/>
      <c r="D33" s="5"/>
      <c r="E33" s="5"/>
      <c r="F33" s="5"/>
      <c r="G33" s="20"/>
      <c r="H33" s="10" t="str">
        <f aca="false">IF(OR($C33="",$G33=""),"",ROUND(($G33-$C33)*24,1))</f>
        <v/>
      </c>
      <c r="I33" s="5"/>
    </row>
    <row r="34" customFormat="false" ht="15" hidden="false" customHeight="false" outlineLevel="0" collapsed="false">
      <c r="A34" s="5"/>
      <c r="B34" s="5"/>
      <c r="C34" s="20"/>
      <c r="D34" s="5"/>
      <c r="E34" s="5"/>
      <c r="F34" s="5"/>
      <c r="G34" s="20"/>
      <c r="H34" s="10" t="str">
        <f aca="false">IF(OR($C34="",$G34=""),"",ROUND(($G34-$C34)*24,1))</f>
        <v/>
      </c>
      <c r="I34" s="5"/>
    </row>
    <row r="35" customFormat="false" ht="15" hidden="false" customHeight="false" outlineLevel="0" collapsed="false">
      <c r="A35" s="5"/>
      <c r="B35" s="5"/>
      <c r="C35" s="20"/>
      <c r="D35" s="5"/>
      <c r="E35" s="5"/>
      <c r="F35" s="5"/>
      <c r="G35" s="20"/>
      <c r="H35" s="10" t="str">
        <f aca="false">IF(OR($C35="",$G35=""),"",ROUND(($G35-$C35)*24,1))</f>
        <v/>
      </c>
      <c r="I35" s="5"/>
    </row>
    <row r="36" customFormat="false" ht="15" hidden="false" customHeight="false" outlineLevel="0" collapsed="false">
      <c r="A36" s="5"/>
      <c r="B36" s="5"/>
      <c r="C36" s="20"/>
      <c r="D36" s="5"/>
      <c r="E36" s="5"/>
      <c r="F36" s="5"/>
      <c r="G36" s="20"/>
      <c r="H36" s="10" t="str">
        <f aca="false">IF(OR($C36="",$G36=""),"",ROUND(($G36-$C36)*24,1))</f>
        <v/>
      </c>
      <c r="I36" s="5"/>
    </row>
    <row r="37" customFormat="false" ht="15" hidden="false" customHeight="false" outlineLevel="0" collapsed="false">
      <c r="A37" s="5"/>
      <c r="B37" s="5"/>
      <c r="C37" s="20"/>
      <c r="D37" s="5"/>
      <c r="E37" s="5"/>
      <c r="F37" s="5"/>
      <c r="G37" s="20"/>
      <c r="H37" s="10" t="str">
        <f aca="false">IF(OR($C37="",$G37=""),"",ROUND(($G37-$C37)*24,1))</f>
        <v/>
      </c>
      <c r="I37" s="5"/>
    </row>
    <row r="38" customFormat="false" ht="15" hidden="false" customHeight="false" outlineLevel="0" collapsed="false">
      <c r="A38" s="5"/>
      <c r="B38" s="5"/>
      <c r="C38" s="20"/>
      <c r="D38" s="5"/>
      <c r="E38" s="5"/>
      <c r="F38" s="5"/>
      <c r="G38" s="20"/>
      <c r="H38" s="10" t="str">
        <f aca="false">IF(OR($C38="",$G38=""),"",ROUND(($G38-$C38)*24,1))</f>
        <v/>
      </c>
      <c r="I38" s="5"/>
    </row>
    <row r="39" customFormat="false" ht="15" hidden="false" customHeight="false" outlineLevel="0" collapsed="false">
      <c r="A39" s="5"/>
      <c r="B39" s="5"/>
      <c r="C39" s="20"/>
      <c r="D39" s="5"/>
      <c r="E39" s="5"/>
      <c r="F39" s="5"/>
      <c r="G39" s="20"/>
      <c r="H39" s="10" t="str">
        <f aca="false">IF(OR($C39="",$G39=""),"",ROUND(($G39-$C39)*24,1))</f>
        <v/>
      </c>
      <c r="I39" s="5"/>
    </row>
    <row r="40" customFormat="false" ht="15" hidden="false" customHeight="false" outlineLevel="0" collapsed="false">
      <c r="A40" s="5"/>
      <c r="B40" s="5"/>
      <c r="C40" s="20"/>
      <c r="D40" s="5"/>
      <c r="E40" s="5"/>
      <c r="F40" s="5"/>
      <c r="G40" s="20"/>
      <c r="H40" s="10" t="str">
        <f aca="false">IF(OR($C40="",$G40=""),"",ROUND(($G40-$C40)*24,1))</f>
        <v/>
      </c>
      <c r="I40" s="5"/>
    </row>
    <row r="41" customFormat="false" ht="15" hidden="false" customHeight="false" outlineLevel="0" collapsed="false">
      <c r="A41" s="5"/>
      <c r="B41" s="5"/>
      <c r="C41" s="20"/>
      <c r="D41" s="5"/>
      <c r="E41" s="5"/>
      <c r="F41" s="5"/>
      <c r="G41" s="20"/>
      <c r="H41" s="10" t="str">
        <f aca="false">IF(OR($C41="",$G41=""),"",ROUND(($G41-$C41)*24,1))</f>
        <v/>
      </c>
      <c r="I41" s="5"/>
    </row>
    <row r="42" customFormat="false" ht="15" hidden="false" customHeight="false" outlineLevel="0" collapsed="false">
      <c r="A42" s="5"/>
      <c r="B42" s="5"/>
      <c r="C42" s="20"/>
      <c r="D42" s="5"/>
      <c r="E42" s="5"/>
      <c r="F42" s="5"/>
      <c r="G42" s="20"/>
      <c r="H42" s="10" t="str">
        <f aca="false">IF(OR($C42="",$G42=""),"",ROUND(($G42-$C42)*24,1))</f>
        <v/>
      </c>
      <c r="I42" s="5"/>
    </row>
    <row r="43" customFormat="false" ht="15" hidden="false" customHeight="false" outlineLevel="0" collapsed="false">
      <c r="A43" s="5"/>
      <c r="B43" s="5"/>
      <c r="C43" s="20"/>
      <c r="D43" s="5"/>
      <c r="E43" s="5"/>
      <c r="F43" s="5"/>
      <c r="G43" s="20"/>
      <c r="H43" s="10" t="str">
        <f aca="false">IF(OR($C43="",$G43=""),"",ROUND(($G43-$C43)*24,1))</f>
        <v/>
      </c>
      <c r="I43" s="5"/>
    </row>
    <row r="44" customFormat="false" ht="15" hidden="false" customHeight="false" outlineLevel="0" collapsed="false">
      <c r="A44" s="5"/>
      <c r="B44" s="5"/>
      <c r="C44" s="20"/>
      <c r="D44" s="5"/>
      <c r="E44" s="5"/>
      <c r="F44" s="5"/>
      <c r="G44" s="20"/>
      <c r="H44" s="10" t="str">
        <f aca="false">IF(OR($C44="",$G44=""),"",ROUND(($G44-$C44)*24,1))</f>
        <v/>
      </c>
      <c r="I44" s="5"/>
    </row>
    <row r="45" customFormat="false" ht="15" hidden="false" customHeight="false" outlineLevel="0" collapsed="false">
      <c r="A45" s="5"/>
      <c r="B45" s="5"/>
      <c r="C45" s="20"/>
      <c r="D45" s="5"/>
      <c r="E45" s="5"/>
      <c r="F45" s="5"/>
      <c r="G45" s="20"/>
      <c r="H45" s="10" t="str">
        <f aca="false">IF(OR($C45="",$G45=""),"",ROUND(($G45-$C45)*24,1))</f>
        <v/>
      </c>
      <c r="I45" s="5"/>
    </row>
    <row r="46" customFormat="false" ht="15" hidden="false" customHeight="false" outlineLevel="0" collapsed="false">
      <c r="A46" s="5"/>
      <c r="B46" s="5"/>
      <c r="C46" s="20"/>
      <c r="D46" s="5"/>
      <c r="E46" s="5"/>
      <c r="F46" s="5"/>
      <c r="G46" s="20"/>
      <c r="H46" s="10" t="str">
        <f aca="false">IF(OR($C46="",$G46=""),"",ROUND(($G46-$C46)*24,1))</f>
        <v/>
      </c>
      <c r="I46" s="5"/>
    </row>
    <row r="47" customFormat="false" ht="15" hidden="false" customHeight="false" outlineLevel="0" collapsed="false">
      <c r="A47" s="5"/>
      <c r="B47" s="5"/>
      <c r="C47" s="20"/>
      <c r="D47" s="5"/>
      <c r="E47" s="5"/>
      <c r="F47" s="5"/>
      <c r="G47" s="20"/>
      <c r="H47" s="10" t="str">
        <f aca="false">IF(OR($C47="",$G47=""),"",ROUND(($G47-$C47)*24,1))</f>
        <v/>
      </c>
      <c r="I47" s="5"/>
    </row>
    <row r="48" customFormat="false" ht="15" hidden="false" customHeight="false" outlineLevel="0" collapsed="false">
      <c r="A48" s="5"/>
      <c r="B48" s="5"/>
      <c r="C48" s="20"/>
      <c r="D48" s="5"/>
      <c r="E48" s="5"/>
      <c r="F48" s="5"/>
      <c r="G48" s="20"/>
      <c r="H48" s="10" t="str">
        <f aca="false">IF(OR($C48="",$G48=""),"",ROUND(($G48-$C48)*24,1))</f>
        <v/>
      </c>
      <c r="I48" s="5"/>
    </row>
    <row r="49" customFormat="false" ht="15" hidden="false" customHeight="false" outlineLevel="0" collapsed="false">
      <c r="A49" s="5"/>
      <c r="B49" s="5"/>
      <c r="C49" s="20"/>
      <c r="D49" s="5"/>
      <c r="E49" s="5"/>
      <c r="F49" s="5"/>
      <c r="G49" s="20"/>
      <c r="H49" s="10" t="str">
        <f aca="false">IF(OR($C49="",$G49=""),"",ROUND(($G49-$C49)*24,1))</f>
        <v/>
      </c>
      <c r="I49" s="5"/>
    </row>
    <row r="50" customFormat="false" ht="15" hidden="false" customHeight="false" outlineLevel="0" collapsed="false">
      <c r="A50" s="5"/>
      <c r="B50" s="5"/>
      <c r="C50" s="20"/>
      <c r="D50" s="5"/>
      <c r="E50" s="5"/>
      <c r="F50" s="5"/>
      <c r="G50" s="20"/>
      <c r="H50" s="10" t="str">
        <f aca="false">IF(OR($C50="",$G50=""),"",ROUND(($G50-$C50)*24,1))</f>
        <v/>
      </c>
      <c r="I50" s="5"/>
    </row>
    <row r="51" customFormat="false" ht="15" hidden="false" customHeight="false" outlineLevel="0" collapsed="false">
      <c r="A51" s="5"/>
      <c r="B51" s="5"/>
      <c r="C51" s="20"/>
      <c r="D51" s="5"/>
      <c r="E51" s="5"/>
      <c r="F51" s="5"/>
      <c r="G51" s="20"/>
      <c r="H51" s="10" t="str">
        <f aca="false">IF(OR($C51="",$G51=""),"",ROUND(($G51-$C51)*24,1))</f>
        <v/>
      </c>
      <c r="I51" s="5"/>
    </row>
    <row r="52" customFormat="false" ht="15" hidden="false" customHeight="false" outlineLevel="0" collapsed="false">
      <c r="A52" s="5"/>
      <c r="B52" s="5"/>
      <c r="C52" s="20"/>
      <c r="D52" s="5"/>
      <c r="E52" s="5"/>
      <c r="F52" s="5"/>
      <c r="G52" s="20"/>
      <c r="H52" s="10" t="str">
        <f aca="false">IF(OR($C52="",$G52=""),"",ROUND(($G52-$C52)*24,1))</f>
        <v/>
      </c>
      <c r="I52" s="5"/>
    </row>
    <row r="53" customFormat="false" ht="15" hidden="false" customHeight="false" outlineLevel="0" collapsed="false">
      <c r="A53" s="5"/>
      <c r="B53" s="5"/>
      <c r="C53" s="20"/>
      <c r="D53" s="5"/>
      <c r="E53" s="5"/>
      <c r="F53" s="5"/>
      <c r="G53" s="20"/>
      <c r="H53" s="10" t="str">
        <f aca="false">IF(OR($C53="",$G53=""),"",ROUND(($G53-$C53)*24,1))</f>
        <v/>
      </c>
      <c r="I53" s="5"/>
    </row>
    <row r="54" customFormat="false" ht="15" hidden="false" customHeight="false" outlineLevel="0" collapsed="false">
      <c r="A54" s="5"/>
      <c r="B54" s="5"/>
      <c r="C54" s="20"/>
      <c r="D54" s="5"/>
      <c r="E54" s="5"/>
      <c r="F54" s="5"/>
      <c r="G54" s="20"/>
      <c r="H54" s="10" t="str">
        <f aca="false">IF(OR($C54="",$G54=""),"",ROUND(($G54-$C54)*24,1))</f>
        <v/>
      </c>
      <c r="I54" s="5"/>
    </row>
    <row r="55" customFormat="false" ht="15" hidden="false" customHeight="false" outlineLevel="0" collapsed="false">
      <c r="A55" s="5"/>
      <c r="B55" s="5"/>
      <c r="C55" s="20"/>
      <c r="D55" s="5"/>
      <c r="E55" s="5"/>
      <c r="F55" s="5"/>
      <c r="G55" s="20"/>
      <c r="H55" s="10" t="str">
        <f aca="false">IF(OR($C55="",$G55=""),"",ROUND(($G55-$C55)*24,1))</f>
        <v/>
      </c>
      <c r="I55" s="5"/>
    </row>
    <row r="56" customFormat="false" ht="15" hidden="false" customHeight="false" outlineLevel="0" collapsed="false">
      <c r="A56" s="5"/>
      <c r="B56" s="5"/>
      <c r="C56" s="20"/>
      <c r="D56" s="5"/>
      <c r="E56" s="5"/>
      <c r="F56" s="5"/>
      <c r="G56" s="20"/>
      <c r="H56" s="10" t="str">
        <f aca="false">IF(OR($C56="",$G56=""),"",ROUND(($G56-$C56)*24,1))</f>
        <v/>
      </c>
      <c r="I56" s="5"/>
    </row>
    <row r="57" customFormat="false" ht="15" hidden="false" customHeight="false" outlineLevel="0" collapsed="false">
      <c r="A57" s="5"/>
      <c r="B57" s="5"/>
      <c r="C57" s="20"/>
      <c r="D57" s="5"/>
      <c r="E57" s="5"/>
      <c r="F57" s="5"/>
      <c r="G57" s="20"/>
      <c r="H57" s="10" t="str">
        <f aca="false">IF(OR($C57="",$G57=""),"",ROUND(($G57-$C57)*24,1))</f>
        <v/>
      </c>
      <c r="I57" s="5"/>
    </row>
    <row r="58" customFormat="false" ht="15" hidden="false" customHeight="false" outlineLevel="0" collapsed="false">
      <c r="A58" s="5"/>
      <c r="B58" s="5"/>
      <c r="C58" s="20"/>
      <c r="D58" s="5"/>
      <c r="E58" s="5"/>
      <c r="F58" s="5"/>
      <c r="G58" s="20"/>
      <c r="H58" s="10" t="str">
        <f aca="false">IF(OR($C58="",$G58=""),"",ROUND(($G58-$C58)*24,1))</f>
        <v/>
      </c>
      <c r="I58" s="5"/>
    </row>
    <row r="59" customFormat="false" ht="15" hidden="false" customHeight="false" outlineLevel="0" collapsed="false">
      <c r="A59" s="5"/>
      <c r="B59" s="5"/>
      <c r="C59" s="20"/>
      <c r="D59" s="5"/>
      <c r="E59" s="5"/>
      <c r="F59" s="5"/>
      <c r="G59" s="20"/>
      <c r="H59" s="10" t="str">
        <f aca="false">IF(OR($C59="",$G59=""),"",ROUND(($G59-$C59)*24,1))</f>
        <v/>
      </c>
      <c r="I59" s="5"/>
    </row>
    <row r="60" customFormat="false" ht="15" hidden="false" customHeight="false" outlineLevel="0" collapsed="false">
      <c r="A60" s="5"/>
      <c r="B60" s="5"/>
      <c r="C60" s="20"/>
      <c r="D60" s="5"/>
      <c r="E60" s="5"/>
      <c r="F60" s="5"/>
      <c r="G60" s="20"/>
      <c r="H60" s="10" t="str">
        <f aca="false">IF(OR($C60="",$G60=""),"",ROUND(($G60-$C60)*24,1))</f>
        <v/>
      </c>
      <c r="I60" s="5"/>
    </row>
    <row r="61" customFormat="false" ht="15" hidden="false" customHeight="false" outlineLevel="0" collapsed="false">
      <c r="A61" s="5"/>
      <c r="B61" s="5"/>
      <c r="C61" s="20"/>
      <c r="D61" s="5"/>
      <c r="E61" s="5"/>
      <c r="F61" s="5"/>
      <c r="G61" s="20"/>
      <c r="H61" s="10" t="str">
        <f aca="false">IF(OR($C61="",$G61=""),"",ROUND(($G61-$C61)*24,1))</f>
        <v/>
      </c>
      <c r="I61" s="5"/>
    </row>
    <row r="62" customFormat="false" ht="15" hidden="false" customHeight="false" outlineLevel="0" collapsed="false">
      <c r="A62" s="5"/>
      <c r="B62" s="5"/>
      <c r="C62" s="20"/>
      <c r="D62" s="5"/>
      <c r="E62" s="5"/>
      <c r="F62" s="5"/>
      <c r="G62" s="20"/>
      <c r="H62" s="10" t="str">
        <f aca="false">IF(OR($C62="",$G62=""),"",ROUND(($G62-$C62)*24,1))</f>
        <v/>
      </c>
      <c r="I62" s="5"/>
    </row>
    <row r="63" customFormat="false" ht="15" hidden="false" customHeight="false" outlineLevel="0" collapsed="false">
      <c r="A63" s="5"/>
      <c r="B63" s="5"/>
      <c r="C63" s="20"/>
      <c r="D63" s="5"/>
      <c r="E63" s="5"/>
      <c r="F63" s="5"/>
      <c r="G63" s="20"/>
      <c r="H63" s="10" t="str">
        <f aca="false">IF(OR($C63="",$G63=""),"",ROUND(($G63-$C63)*24,1))</f>
        <v/>
      </c>
      <c r="I63" s="5"/>
    </row>
    <row r="64" customFormat="false" ht="15" hidden="false" customHeight="false" outlineLevel="0" collapsed="false">
      <c r="A64" s="5"/>
      <c r="B64" s="5"/>
      <c r="C64" s="20"/>
      <c r="D64" s="5"/>
      <c r="E64" s="5"/>
      <c r="F64" s="5"/>
      <c r="G64" s="20"/>
      <c r="H64" s="10" t="str">
        <f aca="false">IF(OR($C64="",$G64=""),"",ROUND(($G64-$C64)*24,1))</f>
        <v/>
      </c>
      <c r="I64" s="5"/>
    </row>
    <row r="65" customFormat="false" ht="15" hidden="false" customHeight="false" outlineLevel="0" collapsed="false">
      <c r="A65" s="5"/>
      <c r="B65" s="5"/>
      <c r="C65" s="20"/>
      <c r="D65" s="5"/>
      <c r="E65" s="5"/>
      <c r="F65" s="5"/>
      <c r="G65" s="20"/>
      <c r="H65" s="10" t="str">
        <f aca="false">IF(OR($C65="",$G65=""),"",ROUND(($G65-$C65)*24,1))</f>
        <v/>
      </c>
      <c r="I65" s="5"/>
    </row>
    <row r="66" customFormat="false" ht="15" hidden="false" customHeight="false" outlineLevel="0" collapsed="false">
      <c r="A66" s="5"/>
      <c r="B66" s="5"/>
      <c r="C66" s="20"/>
      <c r="D66" s="5"/>
      <c r="E66" s="5"/>
      <c r="F66" s="5"/>
      <c r="G66" s="20"/>
      <c r="H66" s="10" t="str">
        <f aca="false">IF(OR($C66="",$G66=""),"",ROUND(($G66-$C66)*24,1))</f>
        <v/>
      </c>
      <c r="I66" s="5"/>
    </row>
    <row r="67" customFormat="false" ht="15" hidden="false" customHeight="false" outlineLevel="0" collapsed="false">
      <c r="A67" s="5"/>
      <c r="B67" s="5"/>
      <c r="C67" s="20"/>
      <c r="D67" s="5"/>
      <c r="E67" s="5"/>
      <c r="F67" s="5"/>
      <c r="G67" s="20"/>
      <c r="H67" s="10" t="str">
        <f aca="false">IF(OR($C67="",$G67=""),"",ROUND(($G67-$C67)*24,1))</f>
        <v/>
      </c>
      <c r="I67" s="5"/>
    </row>
    <row r="68" customFormat="false" ht="15" hidden="false" customHeight="false" outlineLevel="0" collapsed="false">
      <c r="A68" s="5"/>
      <c r="B68" s="5"/>
      <c r="C68" s="20"/>
      <c r="D68" s="5"/>
      <c r="E68" s="5"/>
      <c r="F68" s="5"/>
      <c r="G68" s="20"/>
      <c r="H68" s="10" t="str">
        <f aca="false">IF(OR($C68="",$G68=""),"",ROUND(($G68-$C68)*24,1))</f>
        <v/>
      </c>
      <c r="I68" s="5"/>
    </row>
    <row r="69" customFormat="false" ht="15" hidden="false" customHeight="false" outlineLevel="0" collapsed="false">
      <c r="A69" s="5"/>
      <c r="B69" s="5"/>
      <c r="C69" s="20"/>
      <c r="D69" s="5"/>
      <c r="E69" s="5"/>
      <c r="F69" s="5"/>
      <c r="G69" s="20"/>
      <c r="H69" s="10" t="str">
        <f aca="false">IF(OR($C69="",$G69=""),"",ROUND(($G69-$C69)*24,1))</f>
        <v/>
      </c>
      <c r="I69" s="5"/>
    </row>
    <row r="70" customFormat="false" ht="15" hidden="false" customHeight="false" outlineLevel="0" collapsed="false">
      <c r="A70" s="5"/>
      <c r="B70" s="5"/>
      <c r="C70" s="20"/>
      <c r="D70" s="5"/>
      <c r="E70" s="5"/>
      <c r="F70" s="5"/>
      <c r="G70" s="20"/>
      <c r="H70" s="10" t="str">
        <f aca="false">IF(OR($C70="",$G70=""),"",ROUND(($G70-$C70)*24,1))</f>
        <v/>
      </c>
      <c r="I70" s="5"/>
    </row>
    <row r="71" customFormat="false" ht="15" hidden="false" customHeight="false" outlineLevel="0" collapsed="false">
      <c r="A71" s="5"/>
      <c r="B71" s="5"/>
      <c r="C71" s="20"/>
      <c r="D71" s="5"/>
      <c r="E71" s="5"/>
      <c r="F71" s="5"/>
      <c r="G71" s="20"/>
      <c r="H71" s="10" t="str">
        <f aca="false">IF(OR($C71="",$G71=""),"",ROUND(($G71-$C71)*24,1))</f>
        <v/>
      </c>
      <c r="I71" s="5"/>
    </row>
    <row r="72" customFormat="false" ht="15" hidden="false" customHeight="false" outlineLevel="0" collapsed="false">
      <c r="A72" s="5"/>
      <c r="B72" s="5"/>
      <c r="C72" s="20"/>
      <c r="D72" s="5"/>
      <c r="E72" s="5"/>
      <c r="F72" s="5"/>
      <c r="G72" s="20"/>
      <c r="H72" s="10" t="str">
        <f aca="false">IF(OR($C72="",$G72=""),"",ROUND(($G72-$C72)*24,1))</f>
        <v/>
      </c>
      <c r="I72" s="5"/>
    </row>
    <row r="73" customFormat="false" ht="15" hidden="false" customHeight="false" outlineLevel="0" collapsed="false">
      <c r="A73" s="5"/>
      <c r="B73" s="5"/>
      <c r="C73" s="20"/>
      <c r="D73" s="5"/>
      <c r="E73" s="5"/>
      <c r="F73" s="5"/>
      <c r="G73" s="20"/>
      <c r="H73" s="10" t="str">
        <f aca="false">IF(OR($C73="",$G73=""),"",ROUND(($G73-$C73)*24,1))</f>
        <v/>
      </c>
      <c r="I73" s="5"/>
    </row>
    <row r="74" customFormat="false" ht="15" hidden="false" customHeight="false" outlineLevel="0" collapsed="false">
      <c r="A74" s="5"/>
      <c r="B74" s="5"/>
      <c r="C74" s="20"/>
      <c r="D74" s="5"/>
      <c r="E74" s="5"/>
      <c r="F74" s="5"/>
      <c r="G74" s="20"/>
      <c r="H74" s="10" t="str">
        <f aca="false">IF(OR($C74="",$G74=""),"",ROUND(($G74-$C74)*24,1))</f>
        <v/>
      </c>
      <c r="I74" s="5"/>
    </row>
    <row r="75" customFormat="false" ht="15" hidden="false" customHeight="false" outlineLevel="0" collapsed="false">
      <c r="A75" s="5"/>
      <c r="B75" s="5"/>
      <c r="C75" s="20"/>
      <c r="D75" s="5"/>
      <c r="E75" s="5"/>
      <c r="F75" s="5"/>
      <c r="G75" s="20"/>
      <c r="H75" s="10" t="str">
        <f aca="false">IF(OR($C75="",$G75=""),"",ROUND(($G75-$C75)*24,1))</f>
        <v/>
      </c>
      <c r="I75" s="5"/>
    </row>
    <row r="76" customFormat="false" ht="15" hidden="false" customHeight="false" outlineLevel="0" collapsed="false">
      <c r="A76" s="5"/>
      <c r="B76" s="5"/>
      <c r="C76" s="20"/>
      <c r="D76" s="5"/>
      <c r="E76" s="5"/>
      <c r="F76" s="5"/>
      <c r="G76" s="20"/>
      <c r="H76" s="10" t="str">
        <f aca="false">IF(OR($C76="",$G76=""),"",ROUND(($G76-$C76)*24,1))</f>
        <v/>
      </c>
      <c r="I76" s="5"/>
    </row>
    <row r="77" customFormat="false" ht="15" hidden="false" customHeight="false" outlineLevel="0" collapsed="false">
      <c r="A77" s="5"/>
      <c r="B77" s="5"/>
      <c r="C77" s="20"/>
      <c r="D77" s="5"/>
      <c r="E77" s="5"/>
      <c r="F77" s="5"/>
      <c r="G77" s="20"/>
      <c r="H77" s="10" t="str">
        <f aca="false">IF(OR($C77="",$G77=""),"",ROUND(($G77-$C77)*24,1))</f>
        <v/>
      </c>
      <c r="I77" s="5"/>
    </row>
    <row r="78" customFormat="false" ht="15" hidden="false" customHeight="false" outlineLevel="0" collapsed="false">
      <c r="A78" s="5"/>
      <c r="B78" s="5"/>
      <c r="C78" s="20"/>
      <c r="D78" s="5"/>
      <c r="E78" s="5"/>
      <c r="F78" s="5"/>
      <c r="G78" s="20"/>
      <c r="H78" s="10" t="str">
        <f aca="false">IF(OR($C78="",$G78=""),"",ROUND(($G78-$C78)*24,1))</f>
        <v/>
      </c>
      <c r="I78" s="5"/>
    </row>
    <row r="79" customFormat="false" ht="15" hidden="false" customHeight="false" outlineLevel="0" collapsed="false">
      <c r="A79" s="5"/>
      <c r="B79" s="5"/>
      <c r="C79" s="20"/>
      <c r="D79" s="5"/>
      <c r="E79" s="5"/>
      <c r="F79" s="5"/>
      <c r="G79" s="20"/>
      <c r="H79" s="10" t="str">
        <f aca="false">IF(OR($C79="",$G79=""),"",ROUND(($G79-$C79)*24,1))</f>
        <v/>
      </c>
      <c r="I79" s="5"/>
    </row>
    <row r="80" customFormat="false" ht="15" hidden="false" customHeight="false" outlineLevel="0" collapsed="false">
      <c r="A80" s="5"/>
      <c r="B80" s="5"/>
      <c r="C80" s="20"/>
      <c r="D80" s="5"/>
      <c r="E80" s="5"/>
      <c r="F80" s="5"/>
      <c r="G80" s="20"/>
      <c r="H80" s="10" t="str">
        <f aca="false">IF(OR($C80="",$G80=""),"",ROUND(($G80-$C80)*24,1))</f>
        <v/>
      </c>
      <c r="I80" s="5"/>
    </row>
    <row r="81" customFormat="false" ht="15" hidden="false" customHeight="false" outlineLevel="0" collapsed="false">
      <c r="A81" s="5"/>
      <c r="B81" s="5"/>
      <c r="C81" s="20"/>
      <c r="D81" s="5"/>
      <c r="E81" s="5"/>
      <c r="F81" s="5"/>
      <c r="G81" s="20"/>
      <c r="H81" s="10" t="str">
        <f aca="false">IF(OR($C81="",$G81=""),"",ROUND(($G81-$C81)*24,1))</f>
        <v/>
      </c>
      <c r="I81" s="5"/>
    </row>
    <row r="82" customFormat="false" ht="15" hidden="false" customHeight="false" outlineLevel="0" collapsed="false">
      <c r="A82" s="5"/>
      <c r="B82" s="5"/>
      <c r="C82" s="20"/>
      <c r="D82" s="5"/>
      <c r="E82" s="5"/>
      <c r="F82" s="5"/>
      <c r="G82" s="20"/>
      <c r="H82" s="10" t="str">
        <f aca="false">IF(OR($C82="",$G82=""),"",ROUND(($G82-$C82)*24,1))</f>
        <v/>
      </c>
      <c r="I82" s="5"/>
    </row>
    <row r="83" customFormat="false" ht="15" hidden="false" customHeight="false" outlineLevel="0" collapsed="false">
      <c r="A83" s="5"/>
      <c r="B83" s="5"/>
      <c r="C83" s="20"/>
      <c r="D83" s="5"/>
      <c r="E83" s="5"/>
      <c r="F83" s="5"/>
      <c r="G83" s="20"/>
      <c r="H83" s="10" t="str">
        <f aca="false">IF(OR($C83="",$G83=""),"",ROUND(($G83-$C83)*24,1))</f>
        <v/>
      </c>
      <c r="I83" s="5"/>
    </row>
    <row r="84" customFormat="false" ht="15" hidden="false" customHeight="false" outlineLevel="0" collapsed="false">
      <c r="A84" s="5"/>
      <c r="B84" s="5"/>
      <c r="C84" s="20"/>
      <c r="D84" s="5"/>
      <c r="E84" s="5"/>
      <c r="F84" s="5"/>
      <c r="G84" s="20"/>
      <c r="H84" s="10" t="str">
        <f aca="false">IF(OR($C84="",$G84=""),"",ROUND(($G84-$C84)*24,1))</f>
        <v/>
      </c>
      <c r="I84" s="5"/>
    </row>
    <row r="85" customFormat="false" ht="15" hidden="false" customHeight="false" outlineLevel="0" collapsed="false">
      <c r="A85" s="5"/>
      <c r="B85" s="5"/>
      <c r="C85" s="20"/>
      <c r="D85" s="5"/>
      <c r="E85" s="5"/>
      <c r="F85" s="5"/>
      <c r="G85" s="20"/>
      <c r="H85" s="10" t="str">
        <f aca="false">IF(OR($C85="",$G85=""),"",ROUND(($G85-$C85)*24,1))</f>
        <v/>
      </c>
      <c r="I85" s="5"/>
    </row>
    <row r="86" customFormat="false" ht="15" hidden="false" customHeight="false" outlineLevel="0" collapsed="false">
      <c r="A86" s="5"/>
      <c r="B86" s="5"/>
      <c r="C86" s="20"/>
      <c r="D86" s="5"/>
      <c r="E86" s="5"/>
      <c r="F86" s="5"/>
      <c r="G86" s="20"/>
      <c r="H86" s="10" t="str">
        <f aca="false">IF(OR($C86="",$G86=""),"",ROUND(($G86-$C86)*24,1))</f>
        <v/>
      </c>
      <c r="I86" s="5"/>
    </row>
    <row r="87" customFormat="false" ht="15" hidden="false" customHeight="false" outlineLevel="0" collapsed="false">
      <c r="A87" s="5"/>
      <c r="B87" s="5"/>
      <c r="C87" s="20"/>
      <c r="D87" s="5"/>
      <c r="E87" s="5"/>
      <c r="F87" s="5"/>
      <c r="G87" s="20"/>
      <c r="H87" s="10" t="str">
        <f aca="false">IF(OR($C87="",$G87=""),"",ROUND(($G87-$C87)*24,1))</f>
        <v/>
      </c>
      <c r="I87" s="5"/>
    </row>
    <row r="88" customFormat="false" ht="15" hidden="false" customHeight="false" outlineLevel="0" collapsed="false">
      <c r="A88" s="5"/>
      <c r="B88" s="5"/>
      <c r="C88" s="20"/>
      <c r="D88" s="5"/>
      <c r="E88" s="5"/>
      <c r="F88" s="5"/>
      <c r="G88" s="20"/>
      <c r="H88" s="10" t="str">
        <f aca="false">IF(OR($C88="",$G88=""),"",ROUND(($G88-$C88)*24,1))</f>
        <v/>
      </c>
      <c r="I88" s="5"/>
    </row>
    <row r="89" customFormat="false" ht="15" hidden="false" customHeight="false" outlineLevel="0" collapsed="false">
      <c r="A89" s="5"/>
      <c r="B89" s="5"/>
      <c r="C89" s="20"/>
      <c r="D89" s="5"/>
      <c r="E89" s="5"/>
      <c r="F89" s="5"/>
      <c r="G89" s="20"/>
      <c r="H89" s="10" t="str">
        <f aca="false">IF(OR($C89="",$G89=""),"",ROUND(($G89-$C89)*24,1))</f>
        <v/>
      </c>
      <c r="I89" s="5"/>
    </row>
    <row r="90" customFormat="false" ht="15" hidden="false" customHeight="false" outlineLevel="0" collapsed="false">
      <c r="A90" s="5"/>
      <c r="B90" s="5"/>
      <c r="C90" s="20"/>
      <c r="D90" s="5"/>
      <c r="E90" s="5"/>
      <c r="F90" s="5"/>
      <c r="G90" s="20"/>
      <c r="H90" s="10" t="str">
        <f aca="false">IF(OR($C90="",$G90=""),"",ROUND(($G90-$C90)*24,1))</f>
        <v/>
      </c>
      <c r="I90" s="5"/>
    </row>
    <row r="91" customFormat="false" ht="15" hidden="false" customHeight="false" outlineLevel="0" collapsed="false">
      <c r="A91" s="5"/>
      <c r="B91" s="5"/>
      <c r="C91" s="20"/>
      <c r="D91" s="5"/>
      <c r="E91" s="5"/>
      <c r="F91" s="5"/>
      <c r="G91" s="20"/>
      <c r="H91" s="10" t="str">
        <f aca="false">IF(OR($C91="",$G91=""),"",ROUND(($G91-$C91)*24,1))</f>
        <v/>
      </c>
      <c r="I91" s="5"/>
    </row>
    <row r="92" customFormat="false" ht="15" hidden="false" customHeight="false" outlineLevel="0" collapsed="false">
      <c r="A92" s="5"/>
      <c r="B92" s="5"/>
      <c r="C92" s="20"/>
      <c r="D92" s="5"/>
      <c r="E92" s="5"/>
      <c r="F92" s="5"/>
      <c r="G92" s="20"/>
      <c r="H92" s="10" t="str">
        <f aca="false">IF(OR($C92="",$G92=""),"",ROUND(($G92-$C92)*24,1))</f>
        <v/>
      </c>
      <c r="I92" s="5"/>
    </row>
    <row r="93" customFormat="false" ht="15" hidden="false" customHeight="false" outlineLevel="0" collapsed="false">
      <c r="A93" s="5"/>
      <c r="B93" s="5"/>
      <c r="C93" s="20"/>
      <c r="D93" s="5"/>
      <c r="E93" s="5"/>
      <c r="F93" s="5"/>
      <c r="G93" s="20"/>
      <c r="H93" s="10" t="str">
        <f aca="false">IF(OR($C93="",$G93=""),"",ROUND(($G93-$C93)*24,1))</f>
        <v/>
      </c>
      <c r="I93" s="5"/>
    </row>
    <row r="94" customFormat="false" ht="15" hidden="false" customHeight="false" outlineLevel="0" collapsed="false">
      <c r="A94" s="5"/>
      <c r="B94" s="5"/>
      <c r="C94" s="20"/>
      <c r="D94" s="5"/>
      <c r="E94" s="5"/>
      <c r="F94" s="5"/>
      <c r="G94" s="20"/>
      <c r="H94" s="10" t="str">
        <f aca="false">IF(OR($C94="",$G94=""),"",ROUND(($G94-$C94)*24,1))</f>
        <v/>
      </c>
      <c r="I94" s="5"/>
    </row>
    <row r="95" customFormat="false" ht="15" hidden="false" customHeight="false" outlineLevel="0" collapsed="false">
      <c r="A95" s="5"/>
      <c r="B95" s="5"/>
      <c r="C95" s="20"/>
      <c r="D95" s="5"/>
      <c r="E95" s="5"/>
      <c r="F95" s="5"/>
      <c r="G95" s="20"/>
      <c r="H95" s="10" t="str">
        <f aca="false">IF(OR($C95="",$G95=""),"",ROUND(($G95-$C95)*24,1))</f>
        <v/>
      </c>
      <c r="I95" s="5"/>
    </row>
    <row r="96" customFormat="false" ht="15" hidden="false" customHeight="false" outlineLevel="0" collapsed="false">
      <c r="A96" s="5"/>
      <c r="B96" s="5"/>
      <c r="C96" s="20"/>
      <c r="D96" s="5"/>
      <c r="E96" s="5"/>
      <c r="F96" s="5"/>
      <c r="G96" s="20"/>
      <c r="H96" s="10" t="str">
        <f aca="false">IF(OR($C96="",$G96=""),"",ROUND(($G96-$C96)*24,1))</f>
        <v/>
      </c>
      <c r="I96" s="5"/>
    </row>
    <row r="97" customFormat="false" ht="15" hidden="false" customHeight="false" outlineLevel="0" collapsed="false">
      <c r="A97" s="5"/>
      <c r="B97" s="5"/>
      <c r="C97" s="20"/>
      <c r="D97" s="5"/>
      <c r="E97" s="5"/>
      <c r="F97" s="5"/>
      <c r="G97" s="20"/>
      <c r="H97" s="10" t="str">
        <f aca="false">IF(OR($C97="",$G97=""),"",ROUND(($G97-$C97)*24,1))</f>
        <v/>
      </c>
      <c r="I97" s="5"/>
    </row>
    <row r="98" customFormat="false" ht="15" hidden="false" customHeight="false" outlineLevel="0" collapsed="false">
      <c r="A98" s="5"/>
      <c r="B98" s="5"/>
      <c r="C98" s="20"/>
      <c r="D98" s="5"/>
      <c r="E98" s="5"/>
      <c r="F98" s="5"/>
      <c r="G98" s="20"/>
      <c r="H98" s="10" t="str">
        <f aca="false">IF(OR($C98="",$G98=""),"",ROUND(($G98-$C98)*24,1))</f>
        <v/>
      </c>
      <c r="I98" s="5"/>
    </row>
    <row r="99" customFormat="false" ht="15" hidden="false" customHeight="false" outlineLevel="0" collapsed="false">
      <c r="A99" s="5"/>
      <c r="B99" s="5"/>
      <c r="C99" s="20"/>
      <c r="D99" s="5"/>
      <c r="E99" s="5"/>
      <c r="F99" s="5"/>
      <c r="G99" s="20"/>
      <c r="H99" s="10" t="str">
        <f aca="false">IF(OR($C99="",$G99=""),"",ROUND(($G99-$C99)*24,1))</f>
        <v/>
      </c>
      <c r="I99" s="5"/>
    </row>
    <row r="100" customFormat="false" ht="15" hidden="false" customHeight="false" outlineLevel="0" collapsed="false">
      <c r="A100" s="5"/>
      <c r="B100" s="5"/>
      <c r="C100" s="20"/>
      <c r="D100" s="5"/>
      <c r="E100" s="5"/>
      <c r="F100" s="5"/>
      <c r="G100" s="20"/>
      <c r="H100" s="10" t="str">
        <f aca="false">IF(OR($C100="",$G100=""),"",ROUND(($G100-$C100)*24,1))</f>
        <v/>
      </c>
      <c r="I100" s="5"/>
    </row>
    <row r="101" customFormat="false" ht="15" hidden="false" customHeight="false" outlineLevel="0" collapsed="false">
      <c r="A101" s="5"/>
      <c r="B101" s="5"/>
      <c r="C101" s="20"/>
      <c r="D101" s="5"/>
      <c r="E101" s="5"/>
      <c r="F101" s="5"/>
      <c r="G101" s="20"/>
      <c r="H101" s="10" t="str">
        <f aca="false">IF(OR($C101="",$G101=""),"",ROUND(($G101-$C101)*24,1))</f>
        <v/>
      </c>
      <c r="I101" s="5"/>
    </row>
  </sheetData>
  <dataValidations count="2">
    <dataValidation allowBlank="true" errorStyle="stop" operator="between" showDropDown="false" showErrorMessage="false" showInputMessage="false" sqref="E2:E101" type="list">
      <formula1>"קריטית,רגילה"</formula1>
      <formula2>0</formula2>
    </dataValidation>
    <dataValidation allowBlank="true" errorStyle="stop" operator="between" showDropDown="false" showErrorMessage="false" showInputMessage="false" sqref="F2:F101" type="list">
      <formula1>"פתוחה,סגורה"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3.75" hidden="false" customHeight="true" outlineLevel="0" collapsed="false">
      <c r="A1" s="4" t="s">
        <v>19</v>
      </c>
      <c r="B1" s="4" t="s">
        <v>128</v>
      </c>
      <c r="C1" s="4" t="s">
        <v>129</v>
      </c>
    </row>
    <row r="2" customFormat="false" ht="15" hidden="false" customHeight="false" outlineLevel="0" collapsed="false">
      <c r="A2" s="21" t="s">
        <v>130</v>
      </c>
      <c r="B2" s="22" t="n">
        <v>5700</v>
      </c>
      <c r="C2" s="22" t="n">
        <v>160</v>
      </c>
    </row>
    <row r="3" customFormat="false" ht="15" hidden="false" customHeight="false" outlineLevel="0" collapsed="false">
      <c r="A3" s="21" t="s">
        <v>46</v>
      </c>
      <c r="B3" s="22" t="n">
        <v>8700</v>
      </c>
      <c r="C3" s="22" t="n">
        <v>220</v>
      </c>
    </row>
    <row r="4" customFormat="false" ht="15" hidden="false" customHeight="false" outlineLevel="0" collapsed="false">
      <c r="A4" s="21" t="s">
        <v>131</v>
      </c>
      <c r="B4" s="22" t="n">
        <v>13150</v>
      </c>
      <c r="C4" s="22" t="n">
        <v>350</v>
      </c>
    </row>
    <row r="6" customFormat="false" ht="15" hidden="false" customHeight="false" outlineLevel="0" collapsed="false">
      <c r="A6" s="18" t="s">
        <v>132</v>
      </c>
    </row>
    <row r="8" customFormat="false" ht="15" hidden="false" customHeight="false" outlineLevel="0" collapsed="false">
      <c r="A8" s="23" t="s">
        <v>133</v>
      </c>
    </row>
    <row r="9" customFormat="false" ht="15" hidden="false" customHeight="false" outlineLevel="0" collapsed="false">
      <c r="A9" s="24" t="s">
        <v>134</v>
      </c>
      <c r="B9" s="25" t="n">
        <f aca="false">COUNTIF(לקוחות!$L$2:$L$21,"פעיל")</f>
        <v>1</v>
      </c>
    </row>
    <row r="10" customFormat="false" ht="15" hidden="false" customHeight="false" outlineLevel="0" collapsed="false">
      <c r="A10" s="24" t="s">
        <v>135</v>
      </c>
      <c r="B10" s="26" t="n">
        <f aca="false">SUMIFS(לקוחות!$G$2:$G$21,לקוחות!$L$2:$L$21,"פעיל")</f>
        <v>220</v>
      </c>
    </row>
    <row r="11" customFormat="false" ht="15" hidden="false" customHeight="false" outlineLevel="0" collapsed="false">
      <c r="A11" s="24" t="s">
        <v>136</v>
      </c>
      <c r="B11" s="25" t="n">
        <f aca="false">COUNTIF(פניות!$F$2:$F$500,"פתוחה")</f>
        <v>1</v>
      </c>
    </row>
    <row r="12" customFormat="false" ht="15" hidden="false" customHeight="false" outlineLevel="0" collapsed="false">
      <c r="A12" s="24" t="s">
        <v>137</v>
      </c>
      <c r="B12" s="27" t="n">
        <f aca="false">SUM(שעות!$D$2:$D$500)</f>
        <v>15.5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2026-09-20T05:33:28Z</dcterms:created>
  <dc:creator>openpyxl</dc:creator>
  <dc:description/>
  <dc:language>en-US</dc:language>
  <cp:lastModifiedBy/>
  <dcterms:modified xsi:type="dcterms:W3CDTF">2026-09-20T05:33:28Z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